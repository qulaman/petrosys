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WAG Yerbol\1 ПЗТМ\7 Июль\ИП Услуги Грузов 3\"/>
    </mc:Choice>
  </mc:AlternateContent>
  <xr:revisionPtr revIDLastSave="0" documentId="13_ncr:1_{9D1EB353-E400-401D-A9E2-4F8D59CFD7B1}" xr6:coauthVersionLast="47" xr6:coauthVersionMax="47" xr10:uidLastSave="{00000000-0000-0000-0000-000000000000}"/>
  <bookViews>
    <workbookView xWindow="-108" yWindow="-108" windowWidth="23256" windowHeight="12456" tabRatio="911" xr2:uid="{00000000-000D-0000-FFFF-FFFF00000000}"/>
  </bookViews>
  <sheets>
    <sheet name="Справочник" sheetId="11" r:id="rId1"/>
    <sheet name="СВод Час 2" sheetId="10" r:id="rId2"/>
    <sheet name="Журнал (Час)" sheetId="1" r:id="rId3"/>
    <sheet name="СВод ГСМ Б" sheetId="8" r:id="rId4"/>
    <sheet name="ГСМ Бензовоз" sheetId="6" r:id="rId5"/>
    <sheet name="СВод ГСМ К 2" sheetId="14" r:id="rId6"/>
    <sheet name="ГСМ Карточка" sheetId="2" r:id="rId7"/>
    <sheet name="СВод Рейс" sheetId="15" r:id="rId8"/>
    <sheet name="Рейсы" sheetId="4" r:id="rId9"/>
  </sheets>
  <definedNames>
    <definedName name="_xlnm._FilterDatabase" localSheetId="4" hidden="1">'ГСМ Бензовоз'!$A$1:$D$193</definedName>
    <definedName name="_xlnm._FilterDatabase" localSheetId="6" hidden="1">'ГСМ Карточка'!$H$1:$L$160</definedName>
    <definedName name="_xlnm._FilterDatabase" localSheetId="2" hidden="1">'Журнал (Час)'!$G$1:$K$494</definedName>
    <definedName name="_xlnm._FilterDatabase" localSheetId="8" hidden="1">Рейсы!$A$1:$E$197</definedName>
    <definedName name="_xlnm._FilterDatabase" localSheetId="0" hidden="1">Справочник!$A$3:$D$66</definedName>
  </definedNames>
  <calcPr calcId="18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2" i="2" l="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4" i="11"/>
  <c r="B119" i="2"/>
  <c r="N119" i="2" s="1"/>
  <c r="B118" i="2"/>
  <c r="N118" i="2" s="1"/>
  <c r="B116" i="2"/>
  <c r="N116" i="2" s="1"/>
  <c r="B115" i="2"/>
  <c r="N115" i="2" s="1"/>
  <c r="B114" i="2"/>
  <c r="N114" i="2" s="1"/>
  <c r="B113" i="2"/>
  <c r="N113" i="2" s="1"/>
  <c r="B112" i="2"/>
  <c r="N112" i="2" s="1"/>
  <c r="B110" i="2"/>
  <c r="N110" i="2" s="1"/>
  <c r="B109" i="2"/>
  <c r="N109" i="2" s="1"/>
  <c r="B108" i="2"/>
  <c r="N108" i="2" s="1"/>
  <c r="B107" i="2"/>
  <c r="N107" i="2" s="1"/>
  <c r="B106" i="2"/>
  <c r="N106" i="2" s="1"/>
  <c r="B105" i="2"/>
  <c r="N105" i="2" s="1"/>
  <c r="B104" i="2"/>
  <c r="N104" i="2" s="1"/>
  <c r="B103" i="2"/>
  <c r="N103" i="2" s="1"/>
  <c r="B102" i="2"/>
  <c r="N102" i="2" s="1"/>
  <c r="B101" i="2"/>
  <c r="N101" i="2" s="1"/>
  <c r="B100" i="2"/>
  <c r="N100" i="2" s="1"/>
  <c r="B99" i="2"/>
  <c r="N99" i="2" s="1"/>
  <c r="B98" i="2"/>
  <c r="N98" i="2" s="1"/>
  <c r="B97" i="2"/>
  <c r="N97" i="2" s="1"/>
  <c r="B94" i="2"/>
  <c r="N94" i="2" s="1"/>
  <c r="B93" i="2"/>
  <c r="N93" i="2" s="1"/>
  <c r="B92" i="2"/>
  <c r="N92" i="2" s="1"/>
  <c r="B90" i="2"/>
  <c r="N90" i="2" s="1"/>
  <c r="B88" i="2"/>
  <c r="N88" i="2" s="1"/>
  <c r="B87" i="2"/>
  <c r="N87" i="2" s="1"/>
  <c r="B86" i="2"/>
  <c r="N86" i="2" s="1"/>
  <c r="B85" i="2"/>
  <c r="N85" i="2" s="1"/>
  <c r="B84" i="2"/>
  <c r="N84" i="2" s="1"/>
  <c r="B83" i="2"/>
  <c r="N83" i="2" s="1"/>
  <c r="B82" i="2"/>
  <c r="N82" i="2" s="1"/>
  <c r="B81" i="2"/>
  <c r="N81" i="2" s="1"/>
  <c r="B80" i="2"/>
  <c r="N80" i="2" s="1"/>
  <c r="B78" i="2"/>
  <c r="N78" i="2" s="1"/>
  <c r="B77" i="2"/>
  <c r="N77" i="2" s="1"/>
  <c r="B76" i="2"/>
  <c r="N76" i="2" s="1"/>
  <c r="B75" i="2"/>
  <c r="N75" i="2" s="1"/>
  <c r="B74" i="2"/>
  <c r="N74" i="2" s="1"/>
  <c r="B73" i="2"/>
  <c r="N73" i="2" s="1"/>
  <c r="B72" i="2"/>
  <c r="N72" i="2" s="1"/>
  <c r="B61" i="2"/>
  <c r="N61" i="2" s="1"/>
  <c r="B56" i="2"/>
  <c r="N56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7" i="2"/>
  <c r="N58" i="2"/>
  <c r="N59" i="2"/>
  <c r="N60" i="2"/>
  <c r="N62" i="2"/>
  <c r="N63" i="2"/>
  <c r="N64" i="2"/>
  <c r="N65" i="2"/>
  <c r="N66" i="2"/>
  <c r="N67" i="2"/>
  <c r="N68" i="2"/>
  <c r="N69" i="2"/>
  <c r="N70" i="2"/>
  <c r="N71" i="2"/>
  <c r="N79" i="2"/>
  <c r="N89" i="2"/>
  <c r="N91" i="2"/>
  <c r="N95" i="2"/>
  <c r="N96" i="2"/>
  <c r="N111" i="2"/>
  <c r="N117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2" i="2"/>
  <c r="K487" i="1"/>
  <c r="K475" i="1"/>
  <c r="K472" i="1"/>
  <c r="K467" i="1"/>
  <c r="K466" i="1"/>
  <c r="J459" i="1"/>
  <c r="L459" i="1" s="1"/>
  <c r="J468" i="1"/>
  <c r="L468" i="1" s="1"/>
  <c r="J467" i="1"/>
  <c r="L467" i="1" s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60" i="1"/>
  <c r="L461" i="1"/>
  <c r="L462" i="1"/>
  <c r="L463" i="1"/>
  <c r="L464" i="1"/>
  <c r="L465" i="1"/>
  <c r="L466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J419" i="1"/>
  <c r="L419" i="1" s="1"/>
  <c r="K420" i="1"/>
  <c r="L414" i="1"/>
  <c r="L413" i="1"/>
  <c r="L412" i="1"/>
  <c r="L409" i="1"/>
  <c r="L405" i="1"/>
  <c r="L404" i="1"/>
  <c r="L401" i="1"/>
  <c r="J399" i="1"/>
  <c r="L399" i="1" s="1"/>
  <c r="J397" i="1"/>
  <c r="L397" i="1" s="1"/>
  <c r="J396" i="1"/>
  <c r="L396" i="1" s="1"/>
  <c r="L415" i="1"/>
  <c r="L420" i="1"/>
  <c r="K385" i="1"/>
  <c r="K384" i="1"/>
  <c r="J389" i="1"/>
  <c r="L389" i="1" s="1"/>
  <c r="J380" i="1"/>
  <c r="L380" i="1" s="1"/>
  <c r="K373" i="1"/>
  <c r="K340" i="1"/>
  <c r="K326" i="1"/>
  <c r="J333" i="1"/>
  <c r="L333" i="1" s="1"/>
  <c r="J322" i="1"/>
  <c r="L322" i="1" s="1"/>
  <c r="J315" i="1"/>
  <c r="L315" i="1" s="1"/>
  <c r="K318" i="1"/>
  <c r="K317" i="1"/>
  <c r="K316" i="1"/>
  <c r="K315" i="1"/>
  <c r="K314" i="1"/>
  <c r="K313" i="1"/>
  <c r="K312" i="1"/>
  <c r="K310" i="1"/>
  <c r="K303" i="1"/>
  <c r="J301" i="1"/>
  <c r="L301" i="1" s="1"/>
  <c r="J288" i="1"/>
  <c r="L288" i="1" s="1"/>
  <c r="K292" i="1"/>
  <c r="K283" i="1"/>
  <c r="K281" i="1"/>
  <c r="K280" i="1"/>
  <c r="K279" i="1"/>
  <c r="K278" i="1"/>
  <c r="K277" i="1"/>
  <c r="K276" i="1"/>
  <c r="K274" i="1"/>
  <c r="K260" i="1"/>
  <c r="K254" i="1"/>
  <c r="K250" i="1"/>
  <c r="K243" i="1"/>
  <c r="K242" i="1"/>
  <c r="K241" i="1"/>
  <c r="K240" i="1"/>
  <c r="K239" i="1"/>
  <c r="K237" i="1"/>
  <c r="J279" i="1"/>
  <c r="L279" i="1" s="1"/>
  <c r="J266" i="1"/>
  <c r="L266" i="1" s="1"/>
  <c r="K212" i="1"/>
  <c r="K208" i="1"/>
  <c r="K201" i="1"/>
  <c r="K200" i="1"/>
  <c r="K198" i="1"/>
  <c r="K197" i="1"/>
  <c r="K196" i="1"/>
  <c r="K194" i="1"/>
  <c r="K193" i="1"/>
  <c r="K185" i="1"/>
  <c r="K161" i="1"/>
  <c r="K157" i="1"/>
  <c r="K156" i="1"/>
  <c r="K154" i="1"/>
  <c r="K147" i="1"/>
  <c r="K124" i="1"/>
  <c r="K118" i="1"/>
  <c r="K117" i="1"/>
  <c r="K115" i="1"/>
  <c r="K114" i="1"/>
  <c r="K113" i="1"/>
  <c r="K107" i="1"/>
  <c r="K84" i="1"/>
  <c r="K77" i="1"/>
  <c r="K76" i="1"/>
  <c r="K75" i="1"/>
  <c r="K74" i="1"/>
  <c r="K73" i="1"/>
  <c r="K55" i="1"/>
  <c r="K50" i="1"/>
  <c r="K47" i="1"/>
  <c r="K40" i="1"/>
  <c r="K39" i="1"/>
  <c r="K38" i="1"/>
  <c r="K37" i="1"/>
  <c r="K36" i="1"/>
  <c r="K33" i="1"/>
  <c r="K11" i="1"/>
  <c r="K8" i="1"/>
  <c r="K7" i="1"/>
  <c r="K6" i="1"/>
  <c r="K4" i="1"/>
  <c r="K3" i="1"/>
  <c r="K2" i="1"/>
  <c r="J255" i="1"/>
  <c r="L255" i="1" s="1"/>
  <c r="J254" i="1"/>
  <c r="L254" i="1" s="1"/>
  <c r="J246" i="1"/>
  <c r="L246" i="1" s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7" i="1"/>
  <c r="L248" i="1"/>
  <c r="L249" i="1"/>
  <c r="L250" i="1"/>
  <c r="L251" i="1"/>
  <c r="L252" i="1"/>
  <c r="L253" i="1"/>
  <c r="L256" i="1"/>
  <c r="L257" i="1"/>
  <c r="L258" i="1"/>
  <c r="L259" i="1"/>
  <c r="L260" i="1"/>
  <c r="L261" i="1"/>
  <c r="L262" i="1"/>
  <c r="L263" i="1"/>
  <c r="L264" i="1"/>
  <c r="L265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80" i="1"/>
  <c r="L281" i="1"/>
  <c r="L282" i="1"/>
  <c r="L283" i="1"/>
  <c r="L284" i="1"/>
  <c r="L285" i="1"/>
  <c r="L286" i="1"/>
  <c r="L287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330" i="1"/>
  <c r="L331" i="1"/>
  <c r="L332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1" i="1"/>
  <c r="L382" i="1"/>
  <c r="L383" i="1"/>
  <c r="L384" i="1"/>
  <c r="L385" i="1"/>
  <c r="L386" i="1"/>
  <c r="L387" i="1"/>
  <c r="L388" i="1"/>
  <c r="L390" i="1"/>
  <c r="L391" i="1"/>
  <c r="L392" i="1"/>
  <c r="L393" i="1"/>
  <c r="L394" i="1"/>
  <c r="L395" i="1"/>
  <c r="L398" i="1"/>
  <c r="L400" i="1"/>
  <c r="L402" i="1"/>
  <c r="L403" i="1"/>
  <c r="L406" i="1"/>
  <c r="L407" i="1"/>
  <c r="L408" i="1"/>
  <c r="L410" i="1"/>
  <c r="L411" i="1"/>
  <c r="L416" i="1"/>
  <c r="L417" i="1"/>
  <c r="L418" i="1"/>
  <c r="L421" i="1"/>
  <c r="J213" i="1"/>
  <c r="L213" i="1" s="1"/>
  <c r="J212" i="1"/>
  <c r="L212" i="1" s="1"/>
  <c r="J204" i="1"/>
  <c r="L204" i="1" s="1"/>
  <c r="J193" i="1"/>
  <c r="L193" i="1" s="1"/>
  <c r="J181" i="1"/>
  <c r="L181" i="1" s="1"/>
  <c r="J160" i="1"/>
  <c r="L160" i="1" s="1"/>
  <c r="J157" i="1"/>
  <c r="L157" i="1" s="1"/>
  <c r="J118" i="1"/>
  <c r="L118" i="1" s="1"/>
  <c r="J77" i="1"/>
  <c r="L77" i="1" s="1"/>
  <c r="J40" i="1"/>
  <c r="L40" i="1" s="1"/>
  <c r="J6" i="1"/>
  <c r="L6" i="1" s="1"/>
  <c r="J8" i="1"/>
  <c r="L8" i="1" s="1"/>
  <c r="L3" i="1"/>
  <c r="L4" i="1"/>
  <c r="L5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2" i="1"/>
  <c r="L183" i="1"/>
  <c r="L184" i="1"/>
  <c r="L185" i="1"/>
  <c r="L186" i="1"/>
  <c r="L187" i="1"/>
  <c r="L188" i="1"/>
  <c r="L189" i="1"/>
  <c r="L190" i="1"/>
  <c r="L191" i="1"/>
  <c r="L192" i="1"/>
  <c r="L194" i="1"/>
  <c r="L195" i="1"/>
  <c r="L196" i="1"/>
  <c r="L197" i="1"/>
  <c r="L198" i="1"/>
  <c r="L199" i="1"/>
  <c r="L200" i="1"/>
  <c r="L201" i="1"/>
  <c r="L202" i="1"/>
  <c r="L203" i="1"/>
  <c r="L205" i="1"/>
  <c r="L206" i="1"/>
  <c r="L207" i="1"/>
  <c r="L208" i="1"/>
  <c r="L209" i="1"/>
  <c r="L210" i="1"/>
  <c r="L211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" i="1"/>
</calcChain>
</file>

<file path=xl/sharedStrings.xml><?xml version="1.0" encoding="utf-8"?>
<sst xmlns="http://schemas.openxmlformats.org/spreadsheetml/2006/main" count="4820" uniqueCount="279">
  <si>
    <t>Дата</t>
  </si>
  <si>
    <t>Техника</t>
  </si>
  <si>
    <t>Гос номер</t>
  </si>
  <si>
    <t>ИП</t>
  </si>
  <si>
    <t>Часы</t>
  </si>
  <si>
    <t>412 AOD</t>
  </si>
  <si>
    <t>413 AOD</t>
  </si>
  <si>
    <t>795 AED</t>
  </si>
  <si>
    <t>252 AKD</t>
  </si>
  <si>
    <t>B</t>
  </si>
  <si>
    <t>K</t>
  </si>
  <si>
    <t>E</t>
  </si>
  <si>
    <t>769 AND</t>
  </si>
  <si>
    <t>P</t>
  </si>
  <si>
    <t>029 AOD</t>
  </si>
  <si>
    <t>222 APD</t>
  </si>
  <si>
    <t>902 AOD</t>
  </si>
  <si>
    <t>087 AKD</t>
  </si>
  <si>
    <t>696 AWD</t>
  </si>
  <si>
    <t>379 ALD</t>
  </si>
  <si>
    <t>022 AMD</t>
  </si>
  <si>
    <t>A-SH</t>
  </si>
  <si>
    <t>191 ABV</t>
  </si>
  <si>
    <t>961 AKH</t>
  </si>
  <si>
    <t>547 AKX</t>
  </si>
  <si>
    <t>A-H</t>
  </si>
  <si>
    <t>705 FB</t>
  </si>
  <si>
    <t>058 AMY</t>
  </si>
  <si>
    <t>833 AJM</t>
  </si>
  <si>
    <t>ФИО</t>
  </si>
  <si>
    <t>Марка</t>
  </si>
  <si>
    <t>Выдано</t>
  </si>
  <si>
    <t>563 GK</t>
  </si>
  <si>
    <t>484 ADB</t>
  </si>
  <si>
    <t>750 AEB</t>
  </si>
  <si>
    <t>Lukpanov</t>
  </si>
  <si>
    <t>Ermanov</t>
  </si>
  <si>
    <t>Ernazarov</t>
  </si>
  <si>
    <t>Kenzhegulov</t>
  </si>
  <si>
    <t>Shotabaev</t>
  </si>
  <si>
    <t>Uteniyazov</t>
  </si>
  <si>
    <t>Daniyarov</t>
  </si>
  <si>
    <t>Sagyntai</t>
  </si>
  <si>
    <t>A-F</t>
  </si>
  <si>
    <t>682 AMR</t>
  </si>
  <si>
    <t>011 SM</t>
  </si>
  <si>
    <t>011 AJI</t>
  </si>
  <si>
    <t>375 AJI</t>
  </si>
  <si>
    <t>374 AHO</t>
  </si>
  <si>
    <t>Zhelkebaev</t>
  </si>
  <si>
    <t>Bisenbai</t>
  </si>
  <si>
    <t>Zharkanov</t>
  </si>
  <si>
    <t>Bikenbaev</t>
  </si>
  <si>
    <t>Amenshilov</t>
  </si>
  <si>
    <t>Muhanov</t>
  </si>
  <si>
    <t>Babenov</t>
  </si>
  <si>
    <t>Saginshanov</t>
  </si>
  <si>
    <t>094 AHX</t>
  </si>
  <si>
    <t>529 ALC</t>
  </si>
  <si>
    <t>738 AKR</t>
  </si>
  <si>
    <t>221 ACF</t>
  </si>
  <si>
    <t>470 AJV</t>
  </si>
  <si>
    <t>Kaldygulov</t>
  </si>
  <si>
    <t>Date</t>
  </si>
  <si>
    <t>Saulebaev</t>
  </si>
  <si>
    <t>243 ALN</t>
  </si>
  <si>
    <t>Makenov</t>
  </si>
  <si>
    <t>462 AHI</t>
  </si>
  <si>
    <t>Algi</t>
  </si>
  <si>
    <t>Imankulov</t>
  </si>
  <si>
    <t>540 AKJ</t>
  </si>
  <si>
    <t>Zhenar</t>
  </si>
  <si>
    <t>805 AIG</t>
  </si>
  <si>
    <t>Iskakov</t>
  </si>
  <si>
    <t>066 AMP</t>
  </si>
  <si>
    <t>Danabekov</t>
  </si>
  <si>
    <t>701 GH</t>
  </si>
  <si>
    <t>Dzhumagulov</t>
  </si>
  <si>
    <t>Moldashev</t>
  </si>
  <si>
    <t>705 GH</t>
  </si>
  <si>
    <t>Kulsarin</t>
  </si>
  <si>
    <t>Turniyazov</t>
  </si>
  <si>
    <t>414 BD</t>
  </si>
  <si>
    <t>Bulgaev</t>
  </si>
  <si>
    <t>Abdibaev</t>
  </si>
  <si>
    <t>Асанов</t>
  </si>
  <si>
    <t>543 AIJ</t>
  </si>
  <si>
    <t>Говрилов</t>
  </si>
  <si>
    <t>Жарлгапов</t>
  </si>
  <si>
    <t>Данияров</t>
  </si>
  <si>
    <t>A-C</t>
  </si>
  <si>
    <t>176 ADM</t>
  </si>
  <si>
    <t>710 ABL</t>
  </si>
  <si>
    <t>353 FJ</t>
  </si>
  <si>
    <t>337 ABU</t>
  </si>
  <si>
    <t>715 AHV</t>
  </si>
  <si>
    <t>A-S</t>
  </si>
  <si>
    <t>305 ALZ</t>
  </si>
  <si>
    <t>G</t>
  </si>
  <si>
    <t>597 AND</t>
  </si>
  <si>
    <t>К</t>
  </si>
  <si>
    <t xml:space="preserve"> 03.07.2026</t>
  </si>
  <si>
    <t>304 ALD</t>
  </si>
  <si>
    <t>089 AMD</t>
  </si>
  <si>
    <t>296 AMD</t>
  </si>
  <si>
    <t>V</t>
  </si>
  <si>
    <t>263 AEG</t>
  </si>
  <si>
    <t>013 AKD</t>
  </si>
  <si>
    <t xml:space="preserve">P </t>
  </si>
  <si>
    <t>ADB</t>
  </si>
  <si>
    <t>419 AKY</t>
  </si>
  <si>
    <t>315 AOD</t>
  </si>
  <si>
    <t>852 AOD</t>
  </si>
  <si>
    <t>632 AND</t>
  </si>
  <si>
    <t>595 AKD</t>
  </si>
  <si>
    <t>178 AXD</t>
  </si>
  <si>
    <t>023 INA</t>
  </si>
  <si>
    <t>8'45</t>
  </si>
  <si>
    <t>248 AAF</t>
  </si>
  <si>
    <t>529 M.C</t>
  </si>
  <si>
    <t>695 AWD</t>
  </si>
  <si>
    <t>252 ALD</t>
  </si>
  <si>
    <t>171 AWA</t>
  </si>
  <si>
    <t>390 AHU</t>
  </si>
  <si>
    <t>243 AKK</t>
  </si>
  <si>
    <t>969 AWD</t>
  </si>
  <si>
    <t>769 ALD</t>
  </si>
  <si>
    <t>KM</t>
  </si>
  <si>
    <t>819 AJL</t>
  </si>
  <si>
    <t>696 FH</t>
  </si>
  <si>
    <t>373 ALD</t>
  </si>
  <si>
    <t>263 ANL</t>
  </si>
  <si>
    <t>кол рейсов</t>
  </si>
  <si>
    <t>129 AMT</t>
  </si>
  <si>
    <t xml:space="preserve">Абитов </t>
  </si>
  <si>
    <t>БАймурзин</t>
  </si>
  <si>
    <t>Балгазин</t>
  </si>
  <si>
    <t>Шугуров</t>
  </si>
  <si>
    <t>Медыбаев</t>
  </si>
  <si>
    <t>Узакбаев</t>
  </si>
  <si>
    <t>Койшыбаев</t>
  </si>
  <si>
    <t>Бисенов</t>
  </si>
  <si>
    <t>Нуспенов</t>
  </si>
  <si>
    <t>Саликов</t>
  </si>
  <si>
    <t>819AKY</t>
  </si>
  <si>
    <t>Хова</t>
  </si>
  <si>
    <t xml:space="preserve">Хова </t>
  </si>
  <si>
    <t xml:space="preserve">Шахман </t>
  </si>
  <si>
    <t xml:space="preserve">FAW  </t>
  </si>
  <si>
    <t>Шахман</t>
  </si>
  <si>
    <t>Объект</t>
  </si>
  <si>
    <t>04</t>
  </si>
  <si>
    <t>794 AMB</t>
  </si>
  <si>
    <t>02</t>
  </si>
  <si>
    <t>FAW</t>
  </si>
  <si>
    <t>470 ALV</t>
  </si>
  <si>
    <t>606 AYS</t>
  </si>
  <si>
    <t>859 AHH</t>
  </si>
  <si>
    <t>764 AGR</t>
  </si>
  <si>
    <t>464 AIN</t>
  </si>
  <si>
    <t>183 AGS</t>
  </si>
  <si>
    <t>Камаз</t>
  </si>
  <si>
    <t>692 AIN</t>
  </si>
  <si>
    <t>190 ADB</t>
  </si>
  <si>
    <t>796 GH</t>
  </si>
  <si>
    <t>931 AGT</t>
  </si>
  <si>
    <t>798 GH</t>
  </si>
  <si>
    <t>874 AGR</t>
  </si>
  <si>
    <t>290 AFM</t>
  </si>
  <si>
    <t>398 AKN</t>
  </si>
  <si>
    <t>574 AKX</t>
  </si>
  <si>
    <t>682 AMK</t>
  </si>
  <si>
    <t>898 ALC</t>
  </si>
  <si>
    <t>664</t>
  </si>
  <si>
    <t>770 FAW</t>
  </si>
  <si>
    <t>943 AJG</t>
  </si>
  <si>
    <t>BCH</t>
  </si>
  <si>
    <t>370 AOD</t>
  </si>
  <si>
    <t>VOLVO</t>
  </si>
  <si>
    <t>705 GN</t>
  </si>
  <si>
    <t>Kuandykov</t>
  </si>
  <si>
    <t>Shotybaev</t>
  </si>
  <si>
    <t>Atybaev</t>
  </si>
  <si>
    <t>Danaev</t>
  </si>
  <si>
    <t>606 AJS</t>
  </si>
  <si>
    <t>290 AMF</t>
  </si>
  <si>
    <t>Названия строк</t>
  </si>
  <si>
    <t>(пусто)</t>
  </si>
  <si>
    <t>Общий итог</t>
  </si>
  <si>
    <t>305 AlZ</t>
  </si>
  <si>
    <t>Шаубаев</t>
  </si>
  <si>
    <t>Абылхаиров</t>
  </si>
  <si>
    <t>Сумма по полю Выдано</t>
  </si>
  <si>
    <t>Искалиев</t>
  </si>
  <si>
    <t>Тургумбаева</t>
  </si>
  <si>
    <t>-</t>
  </si>
  <si>
    <t>Кокоза</t>
  </si>
  <si>
    <t>Бернгард</t>
  </si>
  <si>
    <t>Сумма по полю Часы</t>
  </si>
  <si>
    <t>Бежанов</t>
  </si>
  <si>
    <t>Сағынай С</t>
  </si>
  <si>
    <t>Гаврилов</t>
  </si>
  <si>
    <t>Құлсарин</t>
  </si>
  <si>
    <t>Данияров М</t>
  </si>
  <si>
    <t xml:space="preserve">Муханов </t>
  </si>
  <si>
    <t>Горбань</t>
  </si>
  <si>
    <t>Баймурзин</t>
  </si>
  <si>
    <t xml:space="preserve">Табанов </t>
  </si>
  <si>
    <t>Куанышбаев</t>
  </si>
  <si>
    <t>Русланов</t>
  </si>
  <si>
    <t>Кенжебаев</t>
  </si>
  <si>
    <t>Хорченко А</t>
  </si>
  <si>
    <t>Дуйсенбаев</t>
  </si>
  <si>
    <t>Игилмалов</t>
  </si>
  <si>
    <t>Тургумбаев</t>
  </si>
  <si>
    <t>Тулегенов</t>
  </si>
  <si>
    <t>Куанышбайев</t>
  </si>
  <si>
    <t>Жилкибаев</t>
  </si>
  <si>
    <t>Макенов</t>
  </si>
  <si>
    <t>819 AKY</t>
  </si>
  <si>
    <t>813 AKY</t>
  </si>
  <si>
    <t>Қалдыгулов</t>
  </si>
  <si>
    <t>remont</t>
  </si>
  <si>
    <t>370 APD</t>
  </si>
  <si>
    <t>Кенталов</t>
  </si>
  <si>
    <t>Шотыбаев</t>
  </si>
  <si>
    <t>Куандыков</t>
  </si>
  <si>
    <t>Саукебаев</t>
  </si>
  <si>
    <t>Турния</t>
  </si>
  <si>
    <t>Булгаев</t>
  </si>
  <si>
    <t>Бейсенбаев</t>
  </si>
  <si>
    <t>Жинарь</t>
  </si>
  <si>
    <t>Атыбаев</t>
  </si>
  <si>
    <t>Муханов</t>
  </si>
  <si>
    <t>Бауырханов</t>
  </si>
  <si>
    <t>Берингорд</t>
  </si>
  <si>
    <t>Ситинов</t>
  </si>
  <si>
    <t>Фырфа</t>
  </si>
  <si>
    <t>Гейко</t>
  </si>
  <si>
    <t>Иманкулов</t>
  </si>
  <si>
    <t>Рысшанов</t>
  </si>
  <si>
    <t>Балгазин К.</t>
  </si>
  <si>
    <t>Габралов</t>
  </si>
  <si>
    <t>Утениязов</t>
  </si>
  <si>
    <t>Данаев</t>
  </si>
  <si>
    <t>Мушриев</t>
  </si>
  <si>
    <t>Дабиденко</t>
  </si>
  <si>
    <t>Итог</t>
  </si>
  <si>
    <t>Баекенов</t>
  </si>
  <si>
    <t>Сагынжан</t>
  </si>
  <si>
    <t>Номер АКД написан</t>
  </si>
  <si>
    <t>Молдаев</t>
  </si>
  <si>
    <t>Толегенов</t>
  </si>
  <si>
    <t>Ерусиз</t>
  </si>
  <si>
    <t>Куяшева</t>
  </si>
  <si>
    <t>Бисембай</t>
  </si>
  <si>
    <t>Без подсиси номер не корректный</t>
  </si>
  <si>
    <t>Кенжегулов</t>
  </si>
  <si>
    <t>Женарь</t>
  </si>
  <si>
    <t>Количество по полю Гос номер</t>
  </si>
  <si>
    <t>Т</t>
  </si>
  <si>
    <t>(</t>
  </si>
  <si>
    <t>A</t>
  </si>
  <si>
    <t>Журнал</t>
  </si>
  <si>
    <t>Бензовоз</t>
  </si>
  <si>
    <t>Гос номр</t>
  </si>
  <si>
    <t>Сумма ГСМ Б</t>
  </si>
  <si>
    <t>Сумма ГСМ К</t>
  </si>
  <si>
    <t>Карточка</t>
  </si>
  <si>
    <t>Байжанов</t>
  </si>
  <si>
    <t>Жуманазаров</t>
  </si>
  <si>
    <t>Фаф</t>
  </si>
  <si>
    <t>Нуждин</t>
  </si>
  <si>
    <t>Сумма по полю кол рейсов</t>
  </si>
  <si>
    <t>Рейс</t>
  </si>
  <si>
    <t>Номер</t>
  </si>
  <si>
    <t xml:space="preserve">В рейсах </t>
  </si>
  <si>
    <t>В табеле</t>
  </si>
  <si>
    <t xml:space="preserve">  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</si>
</sst>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.mm\.yyyy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1"/>
      <color rgb="FFC00000"/>
      <name val="Calibri"/>
      <family val="2"/>
      <charset val="204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ed">
        <color theme="0" tint="-0.499984740745262"/>
      </left>
      <right/>
      <top style="mediumDashed">
        <color theme="0" tint="-0.499984740745262"/>
      </top>
      <bottom/>
      <diagonal/>
    </border>
    <border>
      <left/>
      <right/>
      <top style="mediumDashed">
        <color theme="0" tint="-0.499984740745262"/>
      </top>
      <bottom/>
      <diagonal/>
    </border>
    <border>
      <left/>
      <right style="mediumDashed">
        <color theme="0" tint="-0.499984740745262"/>
      </right>
      <top style="mediumDashed">
        <color theme="0" tint="-0.499984740745262"/>
      </top>
      <bottom/>
      <diagonal/>
    </border>
    <border>
      <left style="mediumDashed">
        <color theme="0" tint="-0.499984740745262"/>
      </left>
      <right/>
      <top/>
      <bottom/>
      <diagonal/>
    </border>
    <border>
      <left/>
      <right style="mediumDashed">
        <color theme="0" tint="-0.499984740745262"/>
      </right>
      <top/>
      <bottom/>
      <diagonal/>
    </border>
    <border>
      <left style="mediumDashed">
        <color theme="0" tint="-0.499984740745262"/>
      </left>
      <right/>
      <top/>
      <bottom style="mediumDashed">
        <color theme="0" tint="-0.499984740745262"/>
      </bottom>
      <diagonal/>
    </border>
    <border>
      <left/>
      <right/>
      <top/>
      <bottom style="mediumDashed">
        <color theme="0" tint="-0.499984740745262"/>
      </bottom>
      <diagonal/>
    </border>
    <border>
      <left/>
      <right style="mediumDashed">
        <color theme="0" tint="-0.499984740745262"/>
      </right>
      <top/>
      <bottom style="mediumDashed">
        <color theme="0" tint="-0.499984740745262"/>
      </bottom>
      <diagonal/>
    </border>
  </borders>
  <cellStyleXfs count="3">
    <xf numFmtId="0" fontId="0" fillId="0" borderId="0"/>
    <xf numFmtId="0" fontId="2" fillId="0" borderId="0"/>
    <xf numFmtId="43" fontId="6" fillId="0" borderId="0" applyFont="0" applyFill="0" applyBorder="0" applyAlignment="0" applyProtection="0"/>
  </cellStyleXfs>
  <cellXfs count="71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1" fillId="0" borderId="0" xfId="0" applyNumberFormat="1" applyFont="1"/>
    <xf numFmtId="0" fontId="0" fillId="0" borderId="0" xfId="0" applyAlignment="1">
      <alignment horizontal="left"/>
    </xf>
    <xf numFmtId="17" fontId="0" fillId="0" borderId="0" xfId="0" applyNumberFormat="1" applyAlignment="1">
      <alignment horizontal="right"/>
    </xf>
    <xf numFmtId="0" fontId="0" fillId="2" borderId="0" xfId="0" applyFill="1"/>
    <xf numFmtId="0" fontId="3" fillId="3" borderId="0" xfId="1" applyFont="1" applyFill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49" fontId="3" fillId="3" borderId="0" xfId="1" applyNumberFormat="1" applyFont="1" applyFill="1" applyAlignment="1">
      <alignment horizontal="center"/>
    </xf>
    <xf numFmtId="49" fontId="4" fillId="0" borderId="0" xfId="1" applyNumberFormat="1" applyFont="1" applyAlignment="1">
      <alignment horizontal="center"/>
    </xf>
    <xf numFmtId="49" fontId="0" fillId="0" borderId="0" xfId="0" applyNumberFormat="1"/>
    <xf numFmtId="0" fontId="0" fillId="0" borderId="2" xfId="0" applyBorder="1"/>
    <xf numFmtId="164" fontId="4" fillId="0" borderId="2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49" fontId="0" fillId="0" borderId="2" xfId="0" applyNumberFormat="1" applyBorder="1"/>
    <xf numFmtId="164" fontId="4" fillId="4" borderId="0" xfId="1" applyNumberFormat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49" fontId="4" fillId="4" borderId="0" xfId="1" applyNumberFormat="1" applyFont="1" applyFill="1" applyAlignment="1">
      <alignment horizontal="center"/>
    </xf>
    <xf numFmtId="14" fontId="0" fillId="4" borderId="0" xfId="0" applyNumberFormat="1" applyFill="1"/>
    <xf numFmtId="0" fontId="0" fillId="0" borderId="0" xfId="0" pivotButton="1"/>
    <xf numFmtId="0" fontId="5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14" fontId="0" fillId="9" borderId="0" xfId="0" applyNumberFormat="1" applyFill="1"/>
    <xf numFmtId="0" fontId="0" fillId="9" borderId="0" xfId="0" applyFill="1"/>
    <xf numFmtId="0" fontId="5" fillId="5" borderId="0" xfId="0" applyFont="1" applyFill="1"/>
    <xf numFmtId="14" fontId="5" fillId="5" borderId="0" xfId="0" applyNumberFormat="1" applyFont="1" applyFill="1"/>
    <xf numFmtId="0" fontId="0" fillId="10" borderId="0" xfId="0" applyFill="1"/>
    <xf numFmtId="165" fontId="0" fillId="0" borderId="0" xfId="0" applyNumberFormat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9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49" fontId="4" fillId="2" borderId="0" xfId="1" applyNumberFormat="1" applyFont="1" applyFill="1" applyAlignment="1">
      <alignment horizontal="center"/>
    </xf>
    <xf numFmtId="165" fontId="0" fillId="0" borderId="0" xfId="2" applyNumberFormat="1" applyFont="1" applyBorder="1"/>
    <xf numFmtId="165" fontId="0" fillId="2" borderId="0" xfId="2" applyNumberFormat="1" applyFont="1" applyFill="1" applyBorder="1"/>
    <xf numFmtId="165" fontId="0" fillId="5" borderId="0" xfId="2" applyNumberFormat="1" applyFont="1" applyFill="1" applyBorder="1"/>
    <xf numFmtId="165" fontId="5" fillId="0" borderId="0" xfId="2" applyNumberFormat="1" applyFont="1" applyBorder="1"/>
    <xf numFmtId="165" fontId="0" fillId="0" borderId="0" xfId="2" applyNumberFormat="1" applyFont="1" applyFill="1" applyBorder="1"/>
    <xf numFmtId="0" fontId="0" fillId="0" borderId="4" xfId="0" applyBorder="1"/>
    <xf numFmtId="0" fontId="0" fillId="0" borderId="5" xfId="0" applyBorder="1"/>
    <xf numFmtId="0" fontId="0" fillId="10" borderId="6" xfId="0" applyFill="1" applyBorder="1"/>
    <xf numFmtId="0" fontId="0" fillId="0" borderId="7" xfId="0" applyBorder="1"/>
    <xf numFmtId="0" fontId="0" fillId="0" borderId="6" xfId="0" applyBorder="1"/>
    <xf numFmtId="0" fontId="0" fillId="2" borderId="6" xfId="0" applyFill="1" applyBorder="1"/>
    <xf numFmtId="0" fontId="0" fillId="5" borderId="6" xfId="0" applyFill="1" applyBorder="1"/>
    <xf numFmtId="0" fontId="5" fillId="0" borderId="6" xfId="0" applyFont="1" applyBorder="1"/>
    <xf numFmtId="0" fontId="0" fillId="2" borderId="8" xfId="0" applyFill="1" applyBorder="1"/>
    <xf numFmtId="165" fontId="0" fillId="2" borderId="9" xfId="2" applyNumberFormat="1" applyFont="1" applyFill="1" applyBorder="1"/>
    <xf numFmtId="0" fontId="0" fillId="2" borderId="9" xfId="0" applyFill="1" applyBorder="1"/>
    <xf numFmtId="0" fontId="0" fillId="0" borderId="9" xfId="0" applyBorder="1"/>
    <xf numFmtId="0" fontId="0" fillId="0" borderId="10" xfId="0" applyBorder="1"/>
    <xf numFmtId="0" fontId="7" fillId="11" borderId="0" xfId="0" applyFont="1" applyFill="1"/>
    <xf numFmtId="0" fontId="7" fillId="11" borderId="7" xfId="0" applyFont="1" applyFill="1" applyBorder="1"/>
    <xf numFmtId="0" fontId="10" fillId="0" borderId="0" xfId="0" applyFont="1"/>
    <xf numFmtId="0" fontId="10" fillId="0" borderId="3" xfId="0" applyFont="1" applyBorder="1"/>
    <xf numFmtId="0" fontId="4" fillId="5" borderId="0" xfId="1" applyFont="1" applyFill="1" applyAlignment="1">
      <alignment horizontal="center"/>
    </xf>
    <xf numFmtId="0" fontId="11" fillId="4" borderId="0" xfId="0" applyFont="1" applyFill="1"/>
    <xf numFmtId="0" fontId="12" fillId="4" borderId="0" xfId="0" applyFont="1" applyFill="1"/>
    <xf numFmtId="0" fontId="11" fillId="4" borderId="6" xfId="0" applyFont="1" applyFill="1" applyBorder="1"/>
    <xf numFmtId="165" fontId="12" fillId="4" borderId="0" xfId="2" applyNumberFormat="1" applyFont="1" applyFill="1" applyBorder="1"/>
    <xf numFmtId="0" fontId="11" fillId="4" borderId="7" xfId="0" applyFont="1" applyFill="1" applyBorder="1"/>
  </cellXfs>
  <cellStyles count="3">
    <cellStyle name="Обычный" xfId="0" builtinId="0"/>
    <cellStyle name="Обычный 2" xfId="1" xr:uid="{632F6B1C-47C4-4441-BA86-2B3620F073F4}"/>
    <cellStyle name="Финансовый" xfId="2" builtinId="3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5" formatCode="_-* #,##0_-;\-* #,##0_-;_-* &quot;-&quot;??_-;_-@_-"/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2.729619097219" createdVersion="8" refreshedVersion="8" minRefreshableVersion="3" recordCount="493" xr:uid="{6839834D-E94C-4824-8654-608188764576}">
  <cacheSource type="worksheet">
    <worksheetSource ref="G1:K494" sheet="Журнал (Час)"/>
  </cacheSource>
  <cacheFields count="5">
    <cacheField name="Дата" numFmtId="14">
      <sharedItems containsDate="1" containsMixedTypes="1" minDate="2026-07-01T00:00:00" maxDate="2026-07-16T00:00:00"/>
    </cacheField>
    <cacheField name="Часы" numFmtId="0">
      <sharedItems containsBlank="1" containsMixedTypes="1" containsNumber="1" minValue="0" maxValue="10"/>
    </cacheField>
    <cacheField name="Техника" numFmtId="0">
      <sharedItems containsBlank="1" count="14">
        <s v="B"/>
        <s v="K"/>
        <s v="E"/>
        <s v="P"/>
        <s v="A-SH"/>
        <s v="A-H"/>
        <s v="A-C"/>
        <s v="A-F"/>
        <s v="A-S"/>
        <s v="G"/>
        <s v="V"/>
        <m/>
        <s v="P " u="1"/>
        <s v="К" u="1"/>
      </sharedItems>
    </cacheField>
    <cacheField name="Гос номер" numFmtId="0">
      <sharedItems containsBlank="1" count="66">
        <s v="412 AOD"/>
        <s v="413 AOD"/>
        <s v="795 AED"/>
        <s v="252 AKD"/>
        <s v="089 AMD"/>
        <s v="769 AND"/>
        <s v="178 AXD"/>
        <s v="029 AOD"/>
        <s v="222 APD"/>
        <s v="902 AOD"/>
        <s v="087 AKD"/>
        <s v="696 AWD"/>
        <s v="379 ALD"/>
        <s v="022 AMD"/>
        <s v="191 ABV"/>
        <s v="961 AKH"/>
        <s v="547 AKX"/>
        <s v="705 FB"/>
        <s v="058 AMY"/>
        <s v="833 AJM"/>
        <s v="176 ADM"/>
        <s v="710 ABL"/>
        <s v="563 GK"/>
        <s v="484 ADB"/>
        <s v="682 AMR"/>
        <s v="462 AHI"/>
        <s v="353 FJ"/>
        <s v="011 SM"/>
        <s v="337 ABU"/>
        <s v="374 AHO"/>
        <s v="375 AJI"/>
        <s v="715 AHV"/>
        <s v="305 ALZ"/>
        <s v="011 AJI"/>
        <s v="597 AND"/>
        <s v="304 ALD"/>
        <s v="750 AEB"/>
        <s v="738 AKR"/>
        <s v="470 AJV"/>
        <s v="805 AIG"/>
        <s v="296 AMD"/>
        <s v="094 AHX"/>
        <s v="529 ALC"/>
        <s v="263 AEG"/>
        <s v="013 AKD"/>
        <s v="ADB"/>
        <s v="221 ACF"/>
        <s v="540 AKJ"/>
        <s v="419 AKY"/>
        <s v="315 AOD"/>
        <s v="852 AOD"/>
        <s v="023 INA"/>
        <s v="632 AND"/>
        <s v="595 AKD"/>
        <m/>
        <s v="248 AAF"/>
        <s v="695 AWD"/>
        <s v="252 ALD"/>
        <s v="171 AWA"/>
        <s v="390 AHU"/>
        <s v="243 AKK"/>
        <s v="819 AKY"/>
        <s v="813 AKY"/>
        <s v="370 APD"/>
        <s v="819AKY" u="1"/>
        <s v="529 M.C" u="1"/>
      </sharedItems>
    </cacheField>
    <cacheField name="ФИО" numFmtId="0">
      <sharedItems containsBlank="1" count="54">
        <s v="Медыбаев"/>
        <s v="Узакбаев"/>
        <s v="Шугуров"/>
        <s v="Нуспенов"/>
        <s v="Саликов"/>
        <s v="Бисенов"/>
        <s v="Койшыбаев"/>
        <s v="Куанышбаев"/>
        <s v="Абылхаиров"/>
        <s v="Дуйсенбаев"/>
        <s v="Кенжебаев"/>
        <s v="Русланов"/>
        <s v="Қалдыгулов"/>
        <m/>
        <s v="Муханов "/>
        <s v="Куанышбайев"/>
        <s v="Бежанов"/>
        <s v="Игилмалов"/>
        <s v="Куяшева"/>
        <s v="Кенжегулов"/>
        <s v="Макенов"/>
        <s v="Шотыбаев"/>
        <s v="Сағынай С"/>
        <s v="Данияров М"/>
        <s v="Шаубаев"/>
        <s v="Баекенов"/>
        <s v="Абитов "/>
        <s v="Гаврилов"/>
        <s v="Ерусиз"/>
        <s v="Женарь"/>
        <s v="Жилкибаев"/>
        <s v="Бисембай"/>
        <s v="Горбань"/>
        <s v="Толегенов"/>
        <s v="Молдаев"/>
        <s v="Хорченко А"/>
        <s v="БАймурзин"/>
        <s v="Балгазин"/>
        <s v="Сагынжан"/>
        <s v="Құлсарин"/>
        <s v="Табанов "/>
        <s v="Тургумбаев"/>
        <s v="Тулегенов"/>
        <s v="Табонов " u="1"/>
        <s v="Мендібаев" u="1"/>
        <s v="Мендыбаев" u="1"/>
        <s v="Кенилбаев" u="1"/>
        <s v="Кенылбаев" u="1"/>
        <s v="Тургумбаева" u="1"/>
        <s v="Туркумбаев" u="1"/>
        <s v="Турганбаев" u="1"/>
        <s v="Куанышбаева" u="1"/>
        <s v="Қуанышбаева" u="1"/>
        <s v="ремонт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2.732449189818" createdVersion="8" refreshedVersion="8" minRefreshableVersion="3" recordCount="63" xr:uid="{499BF4D1-D66A-4AC6-9641-36BC27ED36AA}">
  <cacheSource type="worksheet">
    <worksheetSource ref="A3:D66" sheet="Справочник"/>
  </cacheSource>
  <cacheFields count="4">
    <cacheField name="Гос номер" numFmtId="0">
      <sharedItems containsBlank="1"/>
    </cacheField>
    <cacheField name="ФИО" numFmtId="0">
      <sharedItems/>
    </cacheField>
    <cacheField name="Техника" numFmtId="0">
      <sharedItems/>
    </cacheField>
    <cacheField name="Т" numFmtId="0">
      <sharedItems count="8">
        <s v="A"/>
        <s v="E"/>
        <s v="P"/>
        <s v="K"/>
        <s v="("/>
        <s v="V"/>
        <s v="G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2.734264930557" createdVersion="8" refreshedVersion="8" minRefreshableVersion="3" recordCount="192" xr:uid="{C3089E4E-1E5E-4F7E-9B86-4F267561FE15}">
  <cacheSource type="worksheet">
    <worksheetSource ref="A1:D193" sheet="ГСМ Бензовоз"/>
  </cacheSource>
  <cacheFields count="4">
    <cacheField name="Дата" numFmtId="14">
      <sharedItems containsSemiMixedTypes="0" containsNonDate="0" containsDate="1" containsString="0" minDate="2026-07-02T00:00:00" maxDate="2026-07-16T00:00:00"/>
    </cacheField>
    <cacheField name="Техника" numFmtId="0">
      <sharedItems/>
    </cacheField>
    <cacheField name="Гос номер" numFmtId="0">
      <sharedItems containsMixedTypes="1" containsNumber="1" minValue="0.13" maxValue="769" count="46">
        <s v="795 AED"/>
        <s v="089 AMD"/>
        <s v="969 AWD"/>
        <s v="252 AKD"/>
        <s v="029 AOD"/>
        <s v="379 ALD"/>
        <s v="222 APD"/>
        <s v="087 AKD"/>
        <s v="412 AOD"/>
        <s v="022 AMD"/>
        <s v="304 ALD"/>
        <s v="769 ALD"/>
        <s v="296 AMD"/>
        <s v="178 AXD"/>
        <s v="597 AND"/>
        <s v="902 AOD"/>
        <s v="413 AOD"/>
        <s v="819 AJL"/>
        <s v="013 AKD"/>
        <s v="696 FH"/>
        <s v="315 AOD"/>
        <s v="852 AOD"/>
        <s v="696 AWD"/>
        <s v="632 AND"/>
        <s v="595 AKD"/>
        <s v="373 ALD"/>
        <s v="252 ALD"/>
        <s v="695 AWD"/>
        <s v="263 ANL"/>
        <s v="-"/>
        <s v="370 AOD"/>
        <s v="961 AKH"/>
        <s v="540 AKJ"/>
        <s v="129 AMT"/>
        <s v="VOLVO"/>
        <n v="0.13" u="1"/>
        <n v="380" u="1"/>
        <n v="769" u="1"/>
        <n v="695" u="1"/>
        <n v="552" u="1"/>
        <n v="370" u="1"/>
        <n v="252" u="1"/>
        <n v="0.87" u="1"/>
        <n v="0.89" u="1"/>
        <n v="0.28999999999999998" u="1"/>
        <n v="413" u="1"/>
      </sharedItems>
    </cacheField>
    <cacheField name="Выдано" numFmtId="0">
      <sharedItems containsSemiMixedTypes="0" containsString="0" containsNumber="1" containsInteger="1" minValue="57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2.798380092594" createdVersion="8" refreshedVersion="8" minRefreshableVersion="3" recordCount="196" xr:uid="{A17573A7-4AE7-441C-A6AD-A72C1624F09A}">
  <cacheSource type="worksheet">
    <worksheetSource ref="A1:E197" sheet="Рейсы"/>
  </cacheSource>
  <cacheFields count="5">
    <cacheField name="Дата" numFmtId="164">
      <sharedItems containsSemiMixedTypes="0" containsNonDate="0" containsDate="1" containsString="0" minDate="2026-07-08T00:00:00" maxDate="2026-07-16T00:00:00"/>
    </cacheField>
    <cacheField name="Гос номер" numFmtId="0">
      <sharedItems count="65">
        <s v="563 GK"/>
        <s v="705 GH"/>
        <s v="414 BD"/>
        <s v="943 AJG"/>
        <s v="701 GH"/>
        <s v="374 AHO"/>
        <s v="375 AJI"/>
        <s v="540 AKJ"/>
        <s v="750 AEB"/>
        <s v="543 AIJ"/>
        <s v="794 AMB"/>
        <s v="529 ALC"/>
        <s v="353 FJ"/>
        <s v="243 ALN"/>
        <s v="705 FB"/>
        <s v="011 AJI"/>
        <s v="066 AMP"/>
        <s v="248 AAF"/>
        <s v="470 ALV"/>
        <s v="606 AYS"/>
        <s v="859 AHH"/>
        <s v="764 AGR"/>
        <s v="464 AIN"/>
        <s v="390 AHU"/>
        <s v="805 AIG"/>
        <s v="961 AKH"/>
        <s v="183 AGS"/>
        <s v="129 AMT"/>
        <s v="692 AIN"/>
        <s v="190 ADB"/>
        <s v="796 GH"/>
        <s v="931 AGT"/>
        <s v="798 GH"/>
        <s v="874 AGR"/>
        <s v="547 AKX"/>
        <s v="290 AFM"/>
        <s v="398 AKN"/>
        <s v="574 AKX"/>
        <s v="058 AMY"/>
        <s v="738 AKR"/>
        <s v="710 ABL"/>
        <s v="191 ABV"/>
        <s v="682 AMK"/>
        <s v="462 AHI"/>
        <s v="898 ALC"/>
        <s v="664"/>
        <s v="770 FAW"/>
        <s v="094 AHX"/>
        <s v="011 AYI" u="1"/>
        <s v="GK" u="1"/>
        <s v="GH" u="1"/>
        <s v="AHO 374" u="1"/>
        <s v="943 AIG" u="1"/>
        <s v="943 AIJ" u="1"/>
        <s v="GK 563" u="1"/>
        <s v="563 GR" u="1"/>
        <s v="547 AMX" u="1"/>
        <s v="540 AKS" u="1"/>
        <s v="470 AJV" u="1"/>
        <s v="390 AHV" u="1"/>
        <s v="353 FG" u="1"/>
        <s v="248 AHT" u="1"/>
        <s v="248 AF" u="1"/>
        <s v="243 AKK" u="1"/>
        <s v="066 AMR" u="1"/>
      </sharedItems>
    </cacheField>
    <cacheField name="Марка" numFmtId="0">
      <sharedItems containsBlank="1"/>
    </cacheField>
    <cacheField name="Объект" numFmtId="49">
      <sharedItems containsBlank="1"/>
    </cacheField>
    <cacheField name="кол рейсов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2.913903819448" createdVersion="8" refreshedVersion="8" minRefreshableVersion="3" recordCount="159" xr:uid="{932A3676-0D16-44CA-AE9E-41303AF9D304}">
  <cacheSource type="worksheet">
    <worksheetSource ref="H1:L160" sheet="ГСМ Карточка"/>
  </cacheSource>
  <cacheFields count="5">
    <cacheField name="Date" numFmtId="14">
      <sharedItems containsSemiMixedTypes="0" containsNonDate="0" containsDate="1" containsString="0" minDate="2026-07-02T00:00:00" maxDate="2026-07-16T00:00:00"/>
    </cacheField>
    <cacheField name="ФИО" numFmtId="0">
      <sharedItems containsBlank="1" count="72">
        <s v="Ermanov"/>
        <s v="Kulsarin"/>
        <s v="Lukpanov"/>
        <s v="Ernazarov"/>
        <s v="Kenzhegulov"/>
        <s v="Шотыбаев"/>
        <s v="Утениязов"/>
        <s v="Bikenbaev"/>
        <s v="Данияров"/>
        <s v="Sagyntai"/>
        <s v="Zhelkebaev"/>
        <s v="Бейсенбаев"/>
        <s v="Жарлгапов"/>
        <s v="Amenshilov"/>
        <s v="Муханов"/>
        <s v="Babenov"/>
        <s v="Saginshanov"/>
        <s v="Kaldygulov"/>
        <s v="Saulebaev"/>
        <s v="Макенов"/>
        <s v="Algi"/>
        <s v="Иманкулов"/>
        <s v="Жинарь"/>
        <s v="Iskakov"/>
        <s v="Danabekov"/>
        <s v="Dzhumagulov"/>
        <s v="Moldashev"/>
        <s v="Turniyazov"/>
        <s v="Булгаев"/>
        <s v="Abdibaev"/>
        <s v="Асанов"/>
        <s v="Говрилов"/>
        <s v="Куандыков"/>
        <s v="Кенталов"/>
        <s v="Атыбаев"/>
        <s v="Данаев"/>
        <s v="Габралов"/>
        <m/>
        <s v="Саукебаев"/>
        <s v="Турния"/>
        <s v="Жуманазаров"/>
        <s v="Байжанов"/>
        <s v="Бауырханов"/>
        <s v="Берингорд"/>
        <s v="Ситинов"/>
        <s v="Нуждин"/>
        <s v="Фырфа"/>
        <s v="Гейко"/>
        <s v="Рысшанов"/>
        <s v="Дабиденко"/>
        <s v="Балгазин К."/>
        <s v="Мушриев"/>
        <s v="Kuandykov" u="1"/>
        <s v="Daniyarov" u="1"/>
        <s v="Сагынай" u="1"/>
        <s v="Uteniyazov" u="1"/>
        <s v="Atybaev" u="1"/>
        <s v="Zhenar" u="1"/>
        <s v="Байтенов" u="1"/>
        <s v="Байжонов" u="1"/>
        <s v="Zharkanov" u="1"/>
        <s v="Молдакеев" u="1"/>
        <s v="Джумангулов" u="1"/>
        <s v="Дихомогулов" u="1"/>
        <s v="Muhanov" u="1"/>
        <s v="Imankulov" u="1"/>
        <s v="Bisenbai" u="1"/>
        <s v="Makenov" u="1"/>
        <s v="Danaev" u="1"/>
        <s v="Донаев" u="1"/>
        <s v="Shotabaev" u="1"/>
        <s v="Shotybaev" u="1"/>
      </sharedItems>
    </cacheField>
    <cacheField name="Марка" numFmtId="0">
      <sharedItems containsBlank="1"/>
    </cacheField>
    <cacheField name="Гос номер" numFmtId="0">
      <sharedItems count="55">
        <s v="563 GK"/>
        <s v="484 ADB"/>
        <s v="750 AEB"/>
        <s v="833 AJM"/>
        <s v="682 AMR"/>
        <s v="011 SM"/>
        <s v="961 AKH"/>
        <s v="011 AJI"/>
        <s v="375 AJI"/>
        <s v="374 AHO"/>
        <s v="094 AHX"/>
        <s v="529 ALC"/>
        <s v="705 FB"/>
        <s v="738 AKR"/>
        <s v="547 AKX"/>
        <s v="221 ACF"/>
        <s v="470 AJV"/>
        <s v="191 ABV"/>
        <s v="243 ALN"/>
        <s v="462 AHI"/>
        <s v="058 AMY"/>
        <s v="540 AKJ"/>
        <s v="805 AIG"/>
        <s v="066 AMP"/>
        <s v="701 GH"/>
        <s v="705 GN"/>
        <s v="414 BD"/>
        <s v="794 AMB"/>
        <s v="943 AJG"/>
        <s v="543 AIJ"/>
        <s v="353 FJ"/>
        <s v="764 AGR"/>
        <s v="859 AHH"/>
        <s v="390 AHU"/>
        <s v="176 ADM"/>
        <s v="710 ABL"/>
        <s v="248 AAF"/>
        <s v="398 AKN"/>
        <s v="464 AIN"/>
        <s v="796 GH"/>
        <s v="798 GH"/>
        <s v="931 AGT"/>
        <s v="692 AIN"/>
        <s v="874 AGR"/>
        <s v="183 AGS"/>
        <s v="129 AMT"/>
        <s v="190 ADB"/>
        <s v="595 AKD"/>
        <s v="606 AJS"/>
        <s v="290 AFM"/>
        <s v="290 AMF" u="1"/>
        <s v="AKD 595D" u="1"/>
        <s v="798 BH" u="1"/>
        <s v="794 AMD" u="1"/>
        <s v="750 АЕВ" u="1"/>
      </sharedItems>
    </cacheField>
    <cacheField name="Выдано" numFmtId="0">
      <sharedItems containsSemiMixedTypes="0" containsString="0" containsNumber="1" minValue="84" maxValue="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d v="2026-07-01T00:00:00"/>
    <n v="7"/>
    <x v="0"/>
    <x v="0"/>
    <x v="0"/>
  </r>
  <r>
    <d v="2026-07-01T00:00:00"/>
    <n v="10"/>
    <x v="0"/>
    <x v="1"/>
    <x v="1"/>
  </r>
  <r>
    <d v="2026-07-02T00:00:00"/>
    <n v="10"/>
    <x v="0"/>
    <x v="2"/>
    <x v="2"/>
  </r>
  <r>
    <d v="2026-07-02T00:00:00"/>
    <n v="10"/>
    <x v="1"/>
    <x v="3"/>
    <x v="3"/>
  </r>
  <r>
    <d v="2026-07-02T00:00:00"/>
    <n v="10"/>
    <x v="2"/>
    <x v="4"/>
    <x v="4"/>
  </r>
  <r>
    <d v="2026-07-02T00:00:00"/>
    <n v="2"/>
    <x v="1"/>
    <x v="5"/>
    <x v="5"/>
  </r>
  <r>
    <d v="2026-07-02T00:00:00"/>
    <n v="2"/>
    <x v="1"/>
    <x v="6"/>
    <x v="6"/>
  </r>
  <r>
    <d v="2026-07-02T00:00:00"/>
    <n v="10"/>
    <x v="3"/>
    <x v="7"/>
    <x v="7"/>
  </r>
  <r>
    <d v="2026-07-02T00:00:00"/>
    <n v="10"/>
    <x v="3"/>
    <x v="8"/>
    <x v="7"/>
  </r>
  <r>
    <d v="2026-07-02T00:00:00"/>
    <n v="10"/>
    <x v="3"/>
    <x v="9"/>
    <x v="8"/>
  </r>
  <r>
    <d v="2026-07-02T00:00:00"/>
    <n v="10"/>
    <x v="3"/>
    <x v="10"/>
    <x v="8"/>
  </r>
  <r>
    <d v="2026-07-02T00:00:00"/>
    <n v="10"/>
    <x v="3"/>
    <x v="11"/>
    <x v="9"/>
  </r>
  <r>
    <d v="2026-07-02T00:00:00"/>
    <n v="10"/>
    <x v="3"/>
    <x v="12"/>
    <x v="10"/>
  </r>
  <r>
    <d v="2026-07-02T00:00:00"/>
    <n v="10"/>
    <x v="3"/>
    <x v="13"/>
    <x v="11"/>
  </r>
  <r>
    <d v="2026-07-02T00:00:00"/>
    <n v="10"/>
    <x v="4"/>
    <x v="14"/>
    <x v="12"/>
  </r>
  <r>
    <d v="2026-07-02T00:00:00"/>
    <n v="10"/>
    <x v="4"/>
    <x v="15"/>
    <x v="13"/>
  </r>
  <r>
    <d v="2026-07-02T00:00:00"/>
    <n v="10"/>
    <x v="4"/>
    <x v="16"/>
    <x v="14"/>
  </r>
  <r>
    <d v="2026-07-02T00:00:00"/>
    <n v="0"/>
    <x v="5"/>
    <x v="17"/>
    <x v="13"/>
  </r>
  <r>
    <d v="2026-07-02T00:00:00"/>
    <n v="10"/>
    <x v="4"/>
    <x v="18"/>
    <x v="15"/>
  </r>
  <r>
    <d v="2026-07-02T00:00:00"/>
    <n v="10"/>
    <x v="4"/>
    <x v="19"/>
    <x v="13"/>
  </r>
  <r>
    <d v="2026-07-02T00:00:00"/>
    <n v="10"/>
    <x v="6"/>
    <x v="20"/>
    <x v="16"/>
  </r>
  <r>
    <d v="2026-07-02T00:00:00"/>
    <n v="10"/>
    <x v="4"/>
    <x v="21"/>
    <x v="17"/>
  </r>
  <r>
    <d v="2026-07-02T00:00:00"/>
    <n v="10"/>
    <x v="5"/>
    <x v="22"/>
    <x v="13"/>
  </r>
  <r>
    <d v="2026-07-02T00:00:00"/>
    <n v="10"/>
    <x v="5"/>
    <x v="23"/>
    <x v="18"/>
  </r>
  <r>
    <d v="2026-07-02T00:00:00"/>
    <n v="10"/>
    <x v="4"/>
    <x v="24"/>
    <x v="19"/>
  </r>
  <r>
    <d v="2026-07-02T00:00:00"/>
    <n v="10"/>
    <x v="4"/>
    <x v="25"/>
    <x v="20"/>
  </r>
  <r>
    <d v="2026-07-02T00:00:00"/>
    <n v="0"/>
    <x v="5"/>
    <x v="26"/>
    <x v="13"/>
  </r>
  <r>
    <d v="2026-07-02T00:00:00"/>
    <n v="10"/>
    <x v="4"/>
    <x v="27"/>
    <x v="21"/>
  </r>
  <r>
    <d v="2026-07-02T00:00:00"/>
    <n v="4"/>
    <x v="5"/>
    <x v="28"/>
    <x v="13"/>
  </r>
  <r>
    <d v="2026-07-02T00:00:00"/>
    <n v="6"/>
    <x v="7"/>
    <x v="29"/>
    <x v="22"/>
  </r>
  <r>
    <d v="2026-07-02T00:00:00"/>
    <n v="6"/>
    <x v="4"/>
    <x v="30"/>
    <x v="23"/>
  </r>
  <r>
    <d v="2026-07-02T00:00:00"/>
    <n v="5"/>
    <x v="4"/>
    <x v="31"/>
    <x v="24"/>
  </r>
  <r>
    <d v="2026-07-02T00:00:00"/>
    <n v="5"/>
    <x v="8"/>
    <x v="32"/>
    <x v="24"/>
  </r>
  <r>
    <d v="2026-07-02T00:00:00"/>
    <n v="5.5"/>
    <x v="5"/>
    <x v="33"/>
    <x v="25"/>
  </r>
  <r>
    <d v="2026-07-03T00:00:00"/>
    <n v="9"/>
    <x v="9"/>
    <x v="34"/>
    <x v="26"/>
  </r>
  <r>
    <d v="2026-07-03T00:00:00"/>
    <n v="10"/>
    <x v="0"/>
    <x v="1"/>
    <x v="1"/>
  </r>
  <r>
    <d v="2026-07-03T00:00:00"/>
    <n v="10"/>
    <x v="0"/>
    <x v="2"/>
    <x v="2"/>
  </r>
  <r>
    <d v="2026-07-03T00:00:00"/>
    <n v="10"/>
    <x v="1"/>
    <x v="5"/>
    <x v="5"/>
  </r>
  <r>
    <d v="2026-07-03T00:00:00"/>
    <n v="10"/>
    <x v="1"/>
    <x v="6"/>
    <x v="6"/>
  </r>
  <r>
    <d v="2026-07-03T00:00:00"/>
    <n v="10"/>
    <x v="1"/>
    <x v="3"/>
    <x v="3"/>
  </r>
  <r>
    <d v="2026-07-03T00:00:00"/>
    <n v="10"/>
    <x v="3"/>
    <x v="7"/>
    <x v="7"/>
  </r>
  <r>
    <d v="2026-07-03T00:00:00"/>
    <n v="10"/>
    <x v="3"/>
    <x v="8"/>
    <x v="7"/>
  </r>
  <r>
    <d v="2026-07-03T00:00:00"/>
    <n v="10"/>
    <x v="3"/>
    <x v="13"/>
    <x v="11"/>
  </r>
  <r>
    <d v="2026-07-03T00:00:00"/>
    <n v="10"/>
    <x v="3"/>
    <x v="12"/>
    <x v="10"/>
  </r>
  <r>
    <d v="2026-07-03T00:00:00"/>
    <n v="10"/>
    <x v="3"/>
    <x v="11"/>
    <x v="9"/>
  </r>
  <r>
    <d v="2026-07-03T00:00:00"/>
    <n v="10"/>
    <x v="3"/>
    <x v="9"/>
    <x v="8"/>
  </r>
  <r>
    <d v="2026-07-03T00:00:00"/>
    <n v="10"/>
    <x v="3"/>
    <x v="10"/>
    <x v="8"/>
  </r>
  <r>
    <s v=" 03.07.2026"/>
    <n v="10"/>
    <x v="3"/>
    <x v="35"/>
    <x v="8"/>
  </r>
  <r>
    <d v="2026-07-03T00:00:00"/>
    <n v="10"/>
    <x v="2"/>
    <x v="4"/>
    <x v="4"/>
  </r>
  <r>
    <d v="2026-07-03T00:00:00"/>
    <n v="10"/>
    <x v="4"/>
    <x v="15"/>
    <x v="13"/>
  </r>
  <r>
    <d v="2026-07-03T00:00:00"/>
    <n v="10"/>
    <x v="4"/>
    <x v="19"/>
    <x v="13"/>
  </r>
  <r>
    <d v="2026-07-03T00:00:00"/>
    <n v="10"/>
    <x v="5"/>
    <x v="23"/>
    <x v="18"/>
  </r>
  <r>
    <d v="2026-07-03T00:00:00"/>
    <n v="10"/>
    <x v="4"/>
    <x v="24"/>
    <x v="19"/>
  </r>
  <r>
    <d v="2026-07-03T00:00:00"/>
    <n v="6.5"/>
    <x v="4"/>
    <x v="31"/>
    <x v="24"/>
  </r>
  <r>
    <d v="2026-07-03T00:00:00"/>
    <n v="10"/>
    <x v="4"/>
    <x v="18"/>
    <x v="15"/>
  </r>
  <r>
    <d v="2026-07-03T00:00:00"/>
    <n v="10"/>
    <x v="4"/>
    <x v="21"/>
    <x v="17"/>
  </r>
  <r>
    <d v="2026-07-03T00:00:00"/>
    <n v="10"/>
    <x v="4"/>
    <x v="14"/>
    <x v="12"/>
  </r>
  <r>
    <d v="2026-07-03T00:00:00"/>
    <n v="10"/>
    <x v="4"/>
    <x v="27"/>
    <x v="21"/>
  </r>
  <r>
    <d v="2026-07-03T00:00:00"/>
    <n v="10"/>
    <x v="6"/>
    <x v="20"/>
    <x v="16"/>
  </r>
  <r>
    <d v="2026-07-03T00:00:00"/>
    <n v="10"/>
    <x v="4"/>
    <x v="16"/>
    <x v="14"/>
  </r>
  <r>
    <d v="2026-07-03T00:00:00"/>
    <n v="10"/>
    <x v="4"/>
    <x v="25"/>
    <x v="20"/>
  </r>
  <r>
    <d v="2026-07-03T00:00:00"/>
    <n v="10"/>
    <x v="4"/>
    <x v="36"/>
    <x v="27"/>
  </r>
  <r>
    <d v="2026-07-03T00:00:00"/>
    <n v="10"/>
    <x v="5"/>
    <x v="26"/>
    <x v="13"/>
  </r>
  <r>
    <d v="2026-07-03T00:00:00"/>
    <n v="10"/>
    <x v="4"/>
    <x v="37"/>
    <x v="13"/>
  </r>
  <r>
    <d v="2026-07-03T00:00:00"/>
    <n v="10"/>
    <x v="4"/>
    <x v="30"/>
    <x v="23"/>
  </r>
  <r>
    <d v="2026-07-03T00:00:00"/>
    <n v="10"/>
    <x v="5"/>
    <x v="22"/>
    <x v="13"/>
  </r>
  <r>
    <d v="2026-07-03T00:00:00"/>
    <n v="10"/>
    <x v="4"/>
    <x v="38"/>
    <x v="28"/>
  </r>
  <r>
    <d v="2026-07-03T00:00:00"/>
    <n v="10"/>
    <x v="8"/>
    <x v="32"/>
    <x v="24"/>
  </r>
  <r>
    <d v="2026-07-03T00:00:00"/>
    <n v="10"/>
    <x v="4"/>
    <x v="39"/>
    <x v="29"/>
  </r>
  <r>
    <d v="2026-07-03T00:00:00"/>
    <n v="10"/>
    <x v="5"/>
    <x v="17"/>
    <x v="13"/>
  </r>
  <r>
    <d v="2026-07-03T00:00:00"/>
    <n v="7"/>
    <x v="5"/>
    <x v="33"/>
    <x v="25"/>
  </r>
  <r>
    <d v="2026-07-04T00:00:00"/>
    <n v="10"/>
    <x v="9"/>
    <x v="34"/>
    <x v="26"/>
  </r>
  <r>
    <d v="2026-07-04T00:00:00"/>
    <n v="10"/>
    <x v="0"/>
    <x v="2"/>
    <x v="2"/>
  </r>
  <r>
    <d v="2026-07-04T00:00:00"/>
    <n v="10"/>
    <x v="2"/>
    <x v="4"/>
    <x v="4"/>
  </r>
  <r>
    <d v="2026-07-04T00:00:00"/>
    <n v="10"/>
    <x v="1"/>
    <x v="5"/>
    <x v="5"/>
  </r>
  <r>
    <d v="2026-07-04T00:00:00"/>
    <n v="10"/>
    <x v="1"/>
    <x v="6"/>
    <x v="6"/>
  </r>
  <r>
    <d v="2026-07-04T00:00:00"/>
    <n v="10"/>
    <x v="1"/>
    <x v="3"/>
    <x v="3"/>
  </r>
  <r>
    <d v="2026-07-04T00:00:00"/>
    <n v="10"/>
    <x v="3"/>
    <x v="7"/>
    <x v="7"/>
  </r>
  <r>
    <d v="2026-07-04T00:00:00"/>
    <n v="5"/>
    <x v="3"/>
    <x v="8"/>
    <x v="7"/>
  </r>
  <r>
    <d v="2026-07-04T00:00:00"/>
    <n v="10"/>
    <x v="3"/>
    <x v="13"/>
    <x v="11"/>
  </r>
  <r>
    <d v="2026-07-04T00:00:00"/>
    <n v="10"/>
    <x v="3"/>
    <x v="12"/>
    <x v="10"/>
  </r>
  <r>
    <d v="2026-07-04T00:00:00"/>
    <n v="10"/>
    <x v="3"/>
    <x v="11"/>
    <x v="9"/>
  </r>
  <r>
    <d v="2026-07-04T00:00:00"/>
    <n v="10"/>
    <x v="3"/>
    <x v="9"/>
    <x v="8"/>
  </r>
  <r>
    <d v="2026-07-04T00:00:00"/>
    <n v="10"/>
    <x v="3"/>
    <x v="10"/>
    <x v="8"/>
  </r>
  <r>
    <d v="2026-07-04T00:00:00"/>
    <n v="10"/>
    <x v="3"/>
    <x v="35"/>
    <x v="8"/>
  </r>
  <r>
    <d v="2026-07-04T00:00:00"/>
    <n v="10"/>
    <x v="3"/>
    <x v="40"/>
    <x v="8"/>
  </r>
  <r>
    <d v="2026-07-04T00:00:00"/>
    <n v="10"/>
    <x v="4"/>
    <x v="27"/>
    <x v="21"/>
  </r>
  <r>
    <d v="2026-07-04T00:00:00"/>
    <n v="10"/>
    <x v="4"/>
    <x v="14"/>
    <x v="12"/>
  </r>
  <r>
    <d v="2026-07-04T00:00:00"/>
    <n v="10"/>
    <x v="4"/>
    <x v="21"/>
    <x v="17"/>
  </r>
  <r>
    <d v="2026-07-04T00:00:00"/>
    <n v="10"/>
    <x v="4"/>
    <x v="25"/>
    <x v="20"/>
  </r>
  <r>
    <d v="2026-07-04T00:00:00"/>
    <n v="10"/>
    <x v="6"/>
    <x v="20"/>
    <x v="16"/>
  </r>
  <r>
    <d v="2026-07-04T00:00:00"/>
    <n v="10"/>
    <x v="5"/>
    <x v="26"/>
    <x v="13"/>
  </r>
  <r>
    <d v="2026-07-04T00:00:00"/>
    <n v="10"/>
    <x v="4"/>
    <x v="37"/>
    <x v="13"/>
  </r>
  <r>
    <d v="2026-07-04T00:00:00"/>
    <n v="10"/>
    <x v="4"/>
    <x v="16"/>
    <x v="14"/>
  </r>
  <r>
    <d v="2026-07-04T00:00:00"/>
    <n v="10"/>
    <x v="5"/>
    <x v="17"/>
    <x v="13"/>
  </r>
  <r>
    <d v="2026-07-04T00:00:00"/>
    <n v="10"/>
    <x v="5"/>
    <x v="33"/>
    <x v="25"/>
  </r>
  <r>
    <d v="2026-07-04T00:00:00"/>
    <n v="10"/>
    <x v="4"/>
    <x v="15"/>
    <x v="13"/>
  </r>
  <r>
    <d v="2026-07-04T00:00:00"/>
    <n v="10"/>
    <x v="4"/>
    <x v="30"/>
    <x v="23"/>
  </r>
  <r>
    <d v="2026-07-04T00:00:00"/>
    <n v="10"/>
    <x v="4"/>
    <x v="24"/>
    <x v="19"/>
  </r>
  <r>
    <d v="2026-07-04T00:00:00"/>
    <n v="10"/>
    <x v="4"/>
    <x v="36"/>
    <x v="27"/>
  </r>
  <r>
    <d v="2026-07-04T00:00:00"/>
    <n v="10"/>
    <x v="5"/>
    <x v="41"/>
    <x v="30"/>
  </r>
  <r>
    <d v="2026-07-04T00:00:00"/>
    <n v="10"/>
    <x v="5"/>
    <x v="23"/>
    <x v="18"/>
  </r>
  <r>
    <d v="2026-07-04T00:00:00"/>
    <n v="10"/>
    <x v="5"/>
    <x v="42"/>
    <x v="31"/>
  </r>
  <r>
    <d v="2026-07-04T00:00:00"/>
    <n v="10"/>
    <x v="4"/>
    <x v="19"/>
    <x v="13"/>
  </r>
  <r>
    <d v="2026-07-04T00:00:00"/>
    <n v="10"/>
    <x v="5"/>
    <x v="22"/>
    <x v="13"/>
  </r>
  <r>
    <d v="2026-07-04T00:00:00"/>
    <n v="10"/>
    <x v="4"/>
    <x v="31"/>
    <x v="24"/>
  </r>
  <r>
    <d v="2026-07-04T00:00:00"/>
    <n v="8"/>
    <x v="8"/>
    <x v="32"/>
    <x v="24"/>
  </r>
  <r>
    <d v="2026-07-04T00:00:00"/>
    <n v="6"/>
    <x v="4"/>
    <x v="38"/>
    <x v="28"/>
  </r>
  <r>
    <d v="2026-07-04T00:00:00"/>
    <n v="10"/>
    <x v="10"/>
    <x v="43"/>
    <x v="32"/>
  </r>
  <r>
    <d v="2026-07-04T00:00:00"/>
    <n v="10"/>
    <x v="4"/>
    <x v="21"/>
    <x v="17"/>
  </r>
  <r>
    <d v="2026-07-04T00:00:00"/>
    <n v="10"/>
    <x v="6"/>
    <x v="20"/>
    <x v="16"/>
  </r>
  <r>
    <d v="2026-07-05T00:00:00"/>
    <n v="10"/>
    <x v="9"/>
    <x v="34"/>
    <x v="26"/>
  </r>
  <r>
    <d v="2026-07-05T00:00:00"/>
    <n v="10"/>
    <x v="0"/>
    <x v="2"/>
    <x v="2"/>
  </r>
  <r>
    <d v="2026-07-05T00:00:00"/>
    <n v="10"/>
    <x v="2"/>
    <x v="4"/>
    <x v="4"/>
  </r>
  <r>
    <d v="2026-07-05T00:00:00"/>
    <n v="10"/>
    <x v="2"/>
    <x v="44"/>
    <x v="13"/>
  </r>
  <r>
    <d v="2026-07-05T00:00:00"/>
    <n v="10"/>
    <x v="1"/>
    <x v="5"/>
    <x v="5"/>
  </r>
  <r>
    <d v="2026-07-05T00:00:00"/>
    <n v="10"/>
    <x v="1"/>
    <x v="6"/>
    <x v="6"/>
  </r>
  <r>
    <d v="2026-07-05T00:00:00"/>
    <n v="10"/>
    <x v="1"/>
    <x v="3"/>
    <x v="3"/>
  </r>
  <r>
    <d v="2026-07-05T00:00:00"/>
    <n v="10"/>
    <x v="3"/>
    <x v="7"/>
    <x v="7"/>
  </r>
  <r>
    <d v="2026-07-05T00:00:00"/>
    <n v="10"/>
    <x v="3"/>
    <x v="13"/>
    <x v="11"/>
  </r>
  <r>
    <d v="2026-07-05T00:00:00"/>
    <n v="10"/>
    <x v="3"/>
    <x v="12"/>
    <x v="10"/>
  </r>
  <r>
    <d v="2026-07-05T00:00:00"/>
    <n v="10"/>
    <x v="3"/>
    <x v="11"/>
    <x v="9"/>
  </r>
  <r>
    <d v="2026-07-05T00:00:00"/>
    <n v="10"/>
    <x v="3"/>
    <x v="9"/>
    <x v="8"/>
  </r>
  <r>
    <d v="2026-07-05T00:00:00"/>
    <n v="10"/>
    <x v="3"/>
    <x v="10"/>
    <x v="8"/>
  </r>
  <r>
    <d v="2026-07-05T00:00:00"/>
    <n v="10"/>
    <x v="3"/>
    <x v="35"/>
    <x v="8"/>
  </r>
  <r>
    <d v="2026-07-05T00:00:00"/>
    <n v="10"/>
    <x v="3"/>
    <x v="40"/>
    <x v="8"/>
  </r>
  <r>
    <d v="2026-07-05T00:00:00"/>
    <n v="10"/>
    <x v="4"/>
    <x v="24"/>
    <x v="19"/>
  </r>
  <r>
    <d v="2026-07-05T00:00:00"/>
    <n v="10"/>
    <x v="4"/>
    <x v="16"/>
    <x v="14"/>
  </r>
  <r>
    <d v="2026-07-05T00:00:00"/>
    <n v="10"/>
    <x v="4"/>
    <x v="36"/>
    <x v="27"/>
  </r>
  <r>
    <d v="2026-07-05T00:00:00"/>
    <n v="10"/>
    <x v="4"/>
    <x v="37"/>
    <x v="13"/>
  </r>
  <r>
    <d v="2026-07-05T00:00:00"/>
    <n v="10"/>
    <x v="4"/>
    <x v="30"/>
    <x v="23"/>
  </r>
  <r>
    <d v="2026-07-05T00:00:00"/>
    <n v="10"/>
    <x v="4"/>
    <x v="14"/>
    <x v="12"/>
  </r>
  <r>
    <d v="2026-07-05T00:00:00"/>
    <n v="10"/>
    <x v="4"/>
    <x v="45"/>
    <x v="13"/>
  </r>
  <r>
    <d v="2026-07-05T00:00:00"/>
    <n v="10"/>
    <x v="6"/>
    <x v="20"/>
    <x v="16"/>
  </r>
  <r>
    <d v="2026-07-05T00:00:00"/>
    <n v="10"/>
    <x v="5"/>
    <x v="41"/>
    <x v="30"/>
  </r>
  <r>
    <d v="2026-07-05T00:00:00"/>
    <n v="10"/>
    <x v="5"/>
    <x v="42"/>
    <x v="31"/>
  </r>
  <r>
    <d v="2026-07-05T00:00:00"/>
    <n v="10"/>
    <x v="4"/>
    <x v="21"/>
    <x v="17"/>
  </r>
  <r>
    <d v="2026-07-05T00:00:00"/>
    <n v="10"/>
    <x v="4"/>
    <x v="19"/>
    <x v="13"/>
  </r>
  <r>
    <d v="2026-07-05T00:00:00"/>
    <n v="10"/>
    <x v="4"/>
    <x v="18"/>
    <x v="15"/>
  </r>
  <r>
    <d v="2026-07-05T00:00:00"/>
    <n v="10"/>
    <x v="5"/>
    <x v="33"/>
    <x v="25"/>
  </r>
  <r>
    <d v="2026-07-05T00:00:00"/>
    <n v="10"/>
    <x v="5"/>
    <x v="22"/>
    <x v="13"/>
  </r>
  <r>
    <d v="2026-07-05T00:00:00"/>
    <n v="10"/>
    <x v="5"/>
    <x v="46"/>
    <x v="13"/>
  </r>
  <r>
    <d v="2026-07-05T00:00:00"/>
    <n v="10"/>
    <x v="4"/>
    <x v="25"/>
    <x v="20"/>
  </r>
  <r>
    <d v="2026-07-05T00:00:00"/>
    <n v="10"/>
    <x v="8"/>
    <x v="32"/>
    <x v="24"/>
  </r>
  <r>
    <d v="2026-07-05T00:00:00"/>
    <n v="10"/>
    <x v="5"/>
    <x v="17"/>
    <x v="13"/>
  </r>
  <r>
    <d v="2026-07-05T00:00:00"/>
    <n v="10"/>
    <x v="4"/>
    <x v="31"/>
    <x v="24"/>
  </r>
  <r>
    <d v="2026-07-05T00:00:00"/>
    <n v="10"/>
    <x v="7"/>
    <x v="29"/>
    <x v="22"/>
  </r>
  <r>
    <d v="2026-07-05T00:00:00"/>
    <n v="10"/>
    <x v="4"/>
    <x v="15"/>
    <x v="13"/>
  </r>
  <r>
    <d v="2026-07-05T00:00:00"/>
    <n v="7"/>
    <x v="4"/>
    <x v="47"/>
    <x v="13"/>
  </r>
  <r>
    <d v="2026-07-05T00:00:00"/>
    <m/>
    <x v="10"/>
    <x v="43"/>
    <x v="32"/>
  </r>
  <r>
    <d v="2026-07-05T00:00:00"/>
    <m/>
    <x v="10"/>
    <x v="48"/>
    <x v="33"/>
  </r>
  <r>
    <d v="2026-07-05T00:00:00"/>
    <n v="10"/>
    <x v="5"/>
    <x v="23"/>
    <x v="18"/>
  </r>
  <r>
    <d v="2026-07-06T00:00:00"/>
    <n v="9"/>
    <x v="9"/>
    <x v="34"/>
    <x v="26"/>
  </r>
  <r>
    <d v="2026-07-06T00:00:00"/>
    <n v="9"/>
    <x v="9"/>
    <x v="49"/>
    <x v="34"/>
  </r>
  <r>
    <d v="2026-07-06T00:00:00"/>
    <n v="8.5"/>
    <x v="1"/>
    <x v="5"/>
    <x v="5"/>
  </r>
  <r>
    <d v="2026-07-06T00:00:00"/>
    <n v="8.5"/>
    <x v="1"/>
    <x v="6"/>
    <x v="6"/>
  </r>
  <r>
    <d v="2026-07-06T00:00:00"/>
    <n v="10"/>
    <x v="1"/>
    <x v="3"/>
    <x v="3"/>
  </r>
  <r>
    <d v="2026-07-06T00:00:00"/>
    <n v="10"/>
    <x v="3"/>
    <x v="7"/>
    <x v="7"/>
  </r>
  <r>
    <d v="2026-07-06T00:00:00"/>
    <n v="10"/>
    <x v="3"/>
    <x v="8"/>
    <x v="7"/>
  </r>
  <r>
    <d v="2026-07-06T00:00:00"/>
    <n v="10"/>
    <x v="3"/>
    <x v="9"/>
    <x v="8"/>
  </r>
  <r>
    <d v="2026-07-06T00:00:00"/>
    <n v="10"/>
    <x v="3"/>
    <x v="10"/>
    <x v="8"/>
  </r>
  <r>
    <d v="2026-07-06T00:00:00"/>
    <n v="10"/>
    <x v="3"/>
    <x v="35"/>
    <x v="8"/>
  </r>
  <r>
    <d v="2026-07-06T00:00:00"/>
    <n v="10"/>
    <x v="3"/>
    <x v="12"/>
    <x v="10"/>
  </r>
  <r>
    <d v="2026-07-06T00:00:00"/>
    <n v="10"/>
    <x v="3"/>
    <x v="11"/>
    <x v="9"/>
  </r>
  <r>
    <d v="2026-07-06T00:00:00"/>
    <n v="10"/>
    <x v="3"/>
    <x v="13"/>
    <x v="11"/>
  </r>
  <r>
    <d v="2026-07-06T00:00:00"/>
    <n v="10"/>
    <x v="3"/>
    <x v="50"/>
    <x v="35"/>
  </r>
  <r>
    <d v="2026-07-06T00:00:00"/>
    <n v="2"/>
    <x v="4"/>
    <x v="15"/>
    <x v="13"/>
  </r>
  <r>
    <d v="2026-07-06T00:00:00"/>
    <n v="8"/>
    <x v="5"/>
    <x v="26"/>
    <x v="13"/>
  </r>
  <r>
    <d v="2026-07-06T00:00:00"/>
    <n v="10"/>
    <x v="4"/>
    <x v="30"/>
    <x v="23"/>
  </r>
  <r>
    <d v="2026-07-06T00:00:00"/>
    <n v="10"/>
    <x v="4"/>
    <x v="24"/>
    <x v="19"/>
  </r>
  <r>
    <d v="2026-07-06T00:00:00"/>
    <n v="10"/>
    <x v="5"/>
    <x v="22"/>
    <x v="13"/>
  </r>
  <r>
    <d v="2026-07-06T00:00:00"/>
    <n v="10"/>
    <x v="4"/>
    <x v="36"/>
    <x v="27"/>
  </r>
  <r>
    <d v="2026-07-06T00:00:00"/>
    <n v="10"/>
    <x v="4"/>
    <x v="14"/>
    <x v="12"/>
  </r>
  <r>
    <d v="2026-07-06T00:00:00"/>
    <n v="10"/>
    <x v="4"/>
    <x v="19"/>
    <x v="13"/>
  </r>
  <r>
    <d v="2026-07-06T00:00:00"/>
    <n v="10"/>
    <x v="4"/>
    <x v="16"/>
    <x v="14"/>
  </r>
  <r>
    <d v="2026-07-06T00:00:00"/>
    <n v="10"/>
    <x v="5"/>
    <x v="23"/>
    <x v="18"/>
  </r>
  <r>
    <d v="2026-07-06T00:00:00"/>
    <n v="10"/>
    <x v="4"/>
    <x v="21"/>
    <x v="17"/>
  </r>
  <r>
    <d v="2026-07-06T00:00:00"/>
    <n v="10"/>
    <x v="4"/>
    <x v="37"/>
    <x v="13"/>
  </r>
  <r>
    <d v="2026-07-06T00:00:00"/>
    <n v="10"/>
    <x v="5"/>
    <x v="41"/>
    <x v="30"/>
  </r>
  <r>
    <d v="2026-07-06T00:00:00"/>
    <n v="10"/>
    <x v="4"/>
    <x v="51"/>
    <x v="13"/>
  </r>
  <r>
    <d v="2026-07-06T00:00:00"/>
    <n v="10"/>
    <x v="5"/>
    <x v="42"/>
    <x v="31"/>
  </r>
  <r>
    <d v="2026-07-06T00:00:00"/>
    <n v="10"/>
    <x v="6"/>
    <x v="20"/>
    <x v="16"/>
  </r>
  <r>
    <d v="2026-07-06T00:00:00"/>
    <n v="10"/>
    <x v="7"/>
    <x v="29"/>
    <x v="22"/>
  </r>
  <r>
    <d v="2026-07-06T00:00:00"/>
    <n v="10"/>
    <x v="4"/>
    <x v="31"/>
    <x v="24"/>
  </r>
  <r>
    <d v="2026-07-06T00:00:00"/>
    <n v="10"/>
    <x v="5"/>
    <x v="46"/>
    <x v="13"/>
  </r>
  <r>
    <d v="2026-07-06T00:00:00"/>
    <n v="10"/>
    <x v="5"/>
    <x v="17"/>
    <x v="13"/>
  </r>
  <r>
    <d v="2026-07-06T00:00:00"/>
    <n v="10"/>
    <x v="4"/>
    <x v="38"/>
    <x v="28"/>
  </r>
  <r>
    <d v="2026-07-06T00:00:00"/>
    <n v="10"/>
    <x v="8"/>
    <x v="32"/>
    <x v="24"/>
  </r>
  <r>
    <d v="2026-07-06T00:00:00"/>
    <n v="10"/>
    <x v="5"/>
    <x v="33"/>
    <x v="25"/>
  </r>
  <r>
    <d v="2026-07-06T00:00:00"/>
    <n v="10"/>
    <x v="10"/>
    <x v="43"/>
    <x v="32"/>
  </r>
  <r>
    <d v="2026-07-06T00:00:00"/>
    <n v="6"/>
    <x v="10"/>
    <x v="48"/>
    <x v="33"/>
  </r>
  <r>
    <d v="2026-07-06T00:00:00"/>
    <n v="10"/>
    <x v="0"/>
    <x v="2"/>
    <x v="2"/>
  </r>
  <r>
    <d v="2026-07-07T00:00:00"/>
    <n v="10"/>
    <x v="9"/>
    <x v="34"/>
    <x v="26"/>
  </r>
  <r>
    <d v="2026-07-07T00:00:00"/>
    <n v="10"/>
    <x v="9"/>
    <x v="49"/>
    <x v="34"/>
  </r>
  <r>
    <d v="2026-07-07T00:00:00"/>
    <n v="10"/>
    <x v="9"/>
    <x v="52"/>
    <x v="36"/>
  </r>
  <r>
    <d v="2026-07-07T00:00:00"/>
    <n v="10"/>
    <x v="9"/>
    <x v="53"/>
    <x v="37"/>
  </r>
  <r>
    <d v="2026-07-07T00:00:00"/>
    <n v="10"/>
    <x v="0"/>
    <x v="2"/>
    <x v="2"/>
  </r>
  <r>
    <d v="2026-07-07T00:00:00"/>
    <n v="10"/>
    <x v="0"/>
    <x v="54"/>
    <x v="13"/>
  </r>
  <r>
    <d v="2026-07-07T00:00:00"/>
    <n v="10"/>
    <x v="1"/>
    <x v="5"/>
    <x v="5"/>
  </r>
  <r>
    <d v="2026-07-07T00:00:00"/>
    <n v="10"/>
    <x v="1"/>
    <x v="6"/>
    <x v="6"/>
  </r>
  <r>
    <d v="2026-07-07T00:00:00"/>
    <n v="10"/>
    <x v="1"/>
    <x v="3"/>
    <x v="3"/>
  </r>
  <r>
    <d v="2026-07-07T00:00:00"/>
    <n v="10"/>
    <x v="3"/>
    <x v="7"/>
    <x v="7"/>
  </r>
  <r>
    <d v="2026-07-07T00:00:00"/>
    <n v="10"/>
    <x v="3"/>
    <x v="8"/>
    <x v="7"/>
  </r>
  <r>
    <d v="2026-07-07T00:00:00"/>
    <n v="10"/>
    <x v="3"/>
    <x v="13"/>
    <x v="11"/>
  </r>
  <r>
    <d v="2026-07-07T00:00:00"/>
    <n v="10"/>
    <x v="3"/>
    <x v="12"/>
    <x v="10"/>
  </r>
  <r>
    <d v="2026-07-07T00:00:00"/>
    <n v="10"/>
    <x v="3"/>
    <x v="50"/>
    <x v="35"/>
  </r>
  <r>
    <d v="2026-07-07T00:00:00"/>
    <n v="10"/>
    <x v="3"/>
    <x v="9"/>
    <x v="8"/>
  </r>
  <r>
    <d v="2026-07-07T00:00:00"/>
    <n v="10"/>
    <x v="3"/>
    <x v="10"/>
    <x v="8"/>
  </r>
  <r>
    <d v="2026-07-07T00:00:00"/>
    <n v="10"/>
    <x v="3"/>
    <x v="35"/>
    <x v="8"/>
  </r>
  <r>
    <d v="2026-07-07T00:00:00"/>
    <n v="10"/>
    <x v="3"/>
    <x v="11"/>
    <x v="9"/>
  </r>
  <r>
    <d v="2026-07-07T00:00:00"/>
    <n v="10"/>
    <x v="2"/>
    <x v="4"/>
    <x v="4"/>
  </r>
  <r>
    <d v="2026-07-07T00:00:00"/>
    <n v="10"/>
    <x v="2"/>
    <x v="44"/>
    <x v="13"/>
  </r>
  <r>
    <d v="2026-07-07T00:00:00"/>
    <n v="10"/>
    <x v="5"/>
    <x v="22"/>
    <x v="13"/>
  </r>
  <r>
    <d v="2026-07-07T00:00:00"/>
    <n v="10"/>
    <x v="4"/>
    <x v="21"/>
    <x v="17"/>
  </r>
  <r>
    <d v="2026-07-07T00:00:00"/>
    <n v="10"/>
    <x v="4"/>
    <x v="19"/>
    <x v="13"/>
  </r>
  <r>
    <d v="2026-07-07T00:00:00"/>
    <n v="10"/>
    <x v="5"/>
    <x v="46"/>
    <x v="13"/>
  </r>
  <r>
    <d v="2026-07-07T00:00:00"/>
    <n v="10"/>
    <x v="4"/>
    <x v="51"/>
    <x v="13"/>
  </r>
  <r>
    <d v="2026-07-07T00:00:00"/>
    <n v="10"/>
    <x v="4"/>
    <x v="24"/>
    <x v="19"/>
  </r>
  <r>
    <d v="2026-07-07T00:00:00"/>
    <n v="10"/>
    <x v="6"/>
    <x v="20"/>
    <x v="16"/>
  </r>
  <r>
    <d v="2026-07-07T00:00:00"/>
    <n v="9"/>
    <x v="4"/>
    <x v="15"/>
    <x v="13"/>
  </r>
  <r>
    <d v="2026-07-07T00:00:00"/>
    <n v="8.75"/>
    <x v="4"/>
    <x v="38"/>
    <x v="28"/>
  </r>
  <r>
    <d v="2026-07-07T00:00:00"/>
    <n v="10"/>
    <x v="11"/>
    <x v="55"/>
    <x v="38"/>
  </r>
  <r>
    <d v="2026-07-07T00:00:00"/>
    <n v="10"/>
    <x v="4"/>
    <x v="47"/>
    <x v="13"/>
  </r>
  <r>
    <d v="2026-07-07T00:00:00"/>
    <n v="10"/>
    <x v="7"/>
    <x v="29"/>
    <x v="22"/>
  </r>
  <r>
    <d v="2026-07-07T00:00:00"/>
    <n v="10"/>
    <x v="4"/>
    <x v="31"/>
    <x v="24"/>
  </r>
  <r>
    <d v="2026-07-07T00:00:00"/>
    <n v="10"/>
    <x v="4"/>
    <x v="36"/>
    <x v="27"/>
  </r>
  <r>
    <d v="2026-07-07T00:00:00"/>
    <n v="10"/>
    <x v="4"/>
    <x v="23"/>
    <x v="39"/>
  </r>
  <r>
    <d v="2026-07-07T00:00:00"/>
    <n v="10"/>
    <x v="5"/>
    <x v="41"/>
    <x v="30"/>
  </r>
  <r>
    <d v="2026-07-07T00:00:00"/>
    <n v="10"/>
    <x v="4"/>
    <x v="30"/>
    <x v="23"/>
  </r>
  <r>
    <d v="2026-07-07T00:00:00"/>
    <n v="10"/>
    <x v="4"/>
    <x v="14"/>
    <x v="12"/>
  </r>
  <r>
    <d v="2026-07-07T00:00:00"/>
    <n v="10"/>
    <x v="5"/>
    <x v="42"/>
    <x v="31"/>
  </r>
  <r>
    <d v="2026-07-07T00:00:00"/>
    <n v="10"/>
    <x v="4"/>
    <x v="16"/>
    <x v="14"/>
  </r>
  <r>
    <d v="2026-07-07T00:00:00"/>
    <n v="10"/>
    <x v="8"/>
    <x v="32"/>
    <x v="24"/>
  </r>
  <r>
    <d v="2026-07-07T00:00:00"/>
    <n v="10"/>
    <x v="10"/>
    <x v="43"/>
    <x v="32"/>
  </r>
  <r>
    <d v="2026-07-07T00:00:00"/>
    <n v="10"/>
    <x v="10"/>
    <x v="48"/>
    <x v="33"/>
  </r>
  <r>
    <d v="2026-07-08T00:00:00"/>
    <n v="10"/>
    <x v="9"/>
    <x v="34"/>
    <x v="26"/>
  </r>
  <r>
    <d v="2026-07-08T00:00:00"/>
    <n v="10"/>
    <x v="9"/>
    <x v="49"/>
    <x v="34"/>
  </r>
  <r>
    <d v="2026-07-08T00:00:00"/>
    <n v="10"/>
    <x v="9"/>
    <x v="52"/>
    <x v="36"/>
  </r>
  <r>
    <d v="2026-07-08T00:00:00"/>
    <n v="10"/>
    <x v="9"/>
    <x v="53"/>
    <x v="37"/>
  </r>
  <r>
    <d v="2026-07-08T00:00:00"/>
    <n v="10"/>
    <x v="0"/>
    <x v="2"/>
    <x v="2"/>
  </r>
  <r>
    <d v="2026-07-08T00:00:00"/>
    <n v="10"/>
    <x v="1"/>
    <x v="5"/>
    <x v="5"/>
  </r>
  <r>
    <d v="2026-07-08T00:00:00"/>
    <n v="10"/>
    <x v="1"/>
    <x v="6"/>
    <x v="6"/>
  </r>
  <r>
    <d v="2026-07-08T00:00:00"/>
    <n v="10"/>
    <x v="1"/>
    <x v="3"/>
    <x v="3"/>
  </r>
  <r>
    <d v="2026-07-08T00:00:00"/>
    <n v="10"/>
    <x v="3"/>
    <x v="7"/>
    <x v="7"/>
  </r>
  <r>
    <d v="2026-07-08T00:00:00"/>
    <n v="10"/>
    <x v="3"/>
    <x v="8"/>
    <x v="7"/>
  </r>
  <r>
    <d v="2026-07-08T00:00:00"/>
    <n v="10"/>
    <x v="3"/>
    <x v="13"/>
    <x v="11"/>
  </r>
  <r>
    <d v="2026-07-08T00:00:00"/>
    <n v="10"/>
    <x v="3"/>
    <x v="12"/>
    <x v="10"/>
  </r>
  <r>
    <d v="2026-07-08T00:00:00"/>
    <n v="10"/>
    <x v="3"/>
    <x v="50"/>
    <x v="35"/>
  </r>
  <r>
    <d v="2026-07-08T00:00:00"/>
    <n v="10"/>
    <x v="3"/>
    <x v="9"/>
    <x v="8"/>
  </r>
  <r>
    <d v="2026-07-08T00:00:00"/>
    <n v="10"/>
    <x v="3"/>
    <x v="10"/>
    <x v="8"/>
  </r>
  <r>
    <d v="2026-07-08T00:00:00"/>
    <n v="10"/>
    <x v="3"/>
    <x v="35"/>
    <x v="8"/>
  </r>
  <r>
    <d v="2026-07-08T00:00:00"/>
    <n v="10"/>
    <x v="3"/>
    <x v="11"/>
    <x v="9"/>
  </r>
  <r>
    <d v="2026-07-08T00:00:00"/>
    <n v="5"/>
    <x v="2"/>
    <x v="4"/>
    <x v="4"/>
  </r>
  <r>
    <d v="2026-07-08T00:00:00"/>
    <n v="7"/>
    <x v="2"/>
    <x v="44"/>
    <x v="13"/>
  </r>
  <r>
    <d v="2026-07-08T00:00:00"/>
    <n v="10"/>
    <x v="2"/>
    <x v="56"/>
    <x v="40"/>
  </r>
  <r>
    <d v="2026-07-08T00:00:00"/>
    <n v="5"/>
    <x v="2"/>
    <x v="57"/>
    <x v="41"/>
  </r>
  <r>
    <d v="2026-07-08T00:00:00"/>
    <n v="10"/>
    <x v="4"/>
    <x v="21"/>
    <x v="17"/>
  </r>
  <r>
    <d v="2026-07-08T00:00:00"/>
    <n v="10"/>
    <x v="6"/>
    <x v="20"/>
    <x v="16"/>
  </r>
  <r>
    <d v="2026-07-08T00:00:00"/>
    <n v="10"/>
    <x v="4"/>
    <x v="31"/>
    <x v="24"/>
  </r>
  <r>
    <d v="2026-07-08T00:00:00"/>
    <n v="10"/>
    <x v="8"/>
    <x v="32"/>
    <x v="24"/>
  </r>
  <r>
    <d v="2026-07-08T00:00:00"/>
    <n v="10"/>
    <x v="4"/>
    <x v="19"/>
    <x v="13"/>
  </r>
  <r>
    <d v="2026-07-08T00:00:00"/>
    <n v="10"/>
    <x v="4"/>
    <x v="18"/>
    <x v="15"/>
  </r>
  <r>
    <d v="2026-07-08T00:00:00"/>
    <n v="10"/>
    <x v="4"/>
    <x v="16"/>
    <x v="14"/>
  </r>
  <r>
    <d v="2026-07-08T00:00:00"/>
    <n v="10"/>
    <x v="4"/>
    <x v="15"/>
    <x v="13"/>
  </r>
  <r>
    <d v="2026-07-08T00:00:00"/>
    <n v="10"/>
    <x v="5"/>
    <x v="41"/>
    <x v="30"/>
  </r>
  <r>
    <d v="2026-07-08T00:00:00"/>
    <n v="10"/>
    <x v="4"/>
    <x v="58"/>
    <x v="13"/>
  </r>
  <r>
    <d v="2026-07-08T00:00:00"/>
    <n v="10"/>
    <x v="4"/>
    <x v="23"/>
    <x v="39"/>
  </r>
  <r>
    <d v="2026-07-08T00:00:00"/>
    <n v="10"/>
    <x v="4"/>
    <x v="14"/>
    <x v="12"/>
  </r>
  <r>
    <d v="2026-07-08T00:00:00"/>
    <n v="10"/>
    <x v="4"/>
    <x v="25"/>
    <x v="20"/>
  </r>
  <r>
    <d v="2026-07-08T00:00:00"/>
    <n v="10"/>
    <x v="10"/>
    <x v="43"/>
    <x v="32"/>
  </r>
  <r>
    <d v="2026-07-08T00:00:00"/>
    <n v="10"/>
    <x v="10"/>
    <x v="48"/>
    <x v="33"/>
  </r>
  <r>
    <d v="2026-07-08T00:00:00"/>
    <n v="10"/>
    <x v="4"/>
    <x v="39"/>
    <x v="29"/>
  </r>
  <r>
    <d v="2026-07-09T00:00:00"/>
    <n v="10"/>
    <x v="9"/>
    <x v="34"/>
    <x v="26"/>
  </r>
  <r>
    <d v="2026-07-09T00:00:00"/>
    <n v="10"/>
    <x v="9"/>
    <x v="49"/>
    <x v="34"/>
  </r>
  <r>
    <d v="2026-07-09T00:00:00"/>
    <n v="10"/>
    <x v="9"/>
    <x v="52"/>
    <x v="36"/>
  </r>
  <r>
    <d v="2026-07-09T00:00:00"/>
    <n v="10"/>
    <x v="9"/>
    <x v="53"/>
    <x v="37"/>
  </r>
  <r>
    <d v="2026-07-09T00:00:00"/>
    <n v="10"/>
    <x v="0"/>
    <x v="2"/>
    <x v="2"/>
  </r>
  <r>
    <d v="2026-07-09T00:00:00"/>
    <n v="10"/>
    <x v="0"/>
    <x v="1"/>
    <x v="1"/>
  </r>
  <r>
    <d v="2026-07-09T00:00:00"/>
    <n v="10"/>
    <x v="1"/>
    <x v="5"/>
    <x v="5"/>
  </r>
  <r>
    <d v="2026-07-09T00:00:00"/>
    <n v="10"/>
    <x v="1"/>
    <x v="6"/>
    <x v="6"/>
  </r>
  <r>
    <d v="2026-07-09T00:00:00"/>
    <n v="10"/>
    <x v="1"/>
    <x v="3"/>
    <x v="3"/>
  </r>
  <r>
    <d v="2026-07-09T00:00:00"/>
    <n v="10"/>
    <x v="2"/>
    <x v="4"/>
    <x v="4"/>
  </r>
  <r>
    <d v="2026-07-09T00:00:00"/>
    <n v="10"/>
    <x v="2"/>
    <x v="44"/>
    <x v="13"/>
  </r>
  <r>
    <d v="2026-07-09T00:00:00"/>
    <n v="10"/>
    <x v="2"/>
    <x v="56"/>
    <x v="40"/>
  </r>
  <r>
    <d v="2026-07-09T00:00:00"/>
    <n v="10"/>
    <x v="2"/>
    <x v="57"/>
    <x v="41"/>
  </r>
  <r>
    <d v="2026-07-09T00:00:00"/>
    <n v="10"/>
    <x v="3"/>
    <x v="7"/>
    <x v="7"/>
  </r>
  <r>
    <d v="2026-07-09T00:00:00"/>
    <n v="10"/>
    <x v="3"/>
    <x v="8"/>
    <x v="7"/>
  </r>
  <r>
    <d v="2026-07-09T00:00:00"/>
    <n v="10"/>
    <x v="3"/>
    <x v="13"/>
    <x v="11"/>
  </r>
  <r>
    <d v="2026-07-09T00:00:00"/>
    <n v="10"/>
    <x v="3"/>
    <x v="12"/>
    <x v="10"/>
  </r>
  <r>
    <d v="2026-07-09T00:00:00"/>
    <n v="10"/>
    <x v="3"/>
    <x v="50"/>
    <x v="35"/>
  </r>
  <r>
    <d v="2026-07-09T00:00:00"/>
    <n v="10"/>
    <x v="3"/>
    <x v="9"/>
    <x v="8"/>
  </r>
  <r>
    <d v="2026-07-09T00:00:00"/>
    <n v="10"/>
    <x v="3"/>
    <x v="10"/>
    <x v="8"/>
  </r>
  <r>
    <d v="2026-07-09T00:00:00"/>
    <n v="10"/>
    <x v="3"/>
    <x v="35"/>
    <x v="8"/>
  </r>
  <r>
    <d v="2026-07-09T00:00:00"/>
    <n v="10"/>
    <x v="3"/>
    <x v="11"/>
    <x v="9"/>
  </r>
  <r>
    <d v="2026-07-09T00:00:00"/>
    <n v="10"/>
    <x v="10"/>
    <x v="43"/>
    <x v="32"/>
  </r>
  <r>
    <d v="2026-07-09T00:00:00"/>
    <n v="10"/>
    <x v="10"/>
    <x v="48"/>
    <x v="33"/>
  </r>
  <r>
    <d v="2026-07-09T00:00:00"/>
    <n v="10"/>
    <x v="4"/>
    <x v="14"/>
    <x v="12"/>
  </r>
  <r>
    <d v="2026-07-09T00:00:00"/>
    <n v="10"/>
    <x v="4"/>
    <x v="23"/>
    <x v="39"/>
  </r>
  <r>
    <d v="2026-07-09T00:00:00"/>
    <n v="10"/>
    <x v="4"/>
    <x v="18"/>
    <x v="15"/>
  </r>
  <r>
    <d v="2026-07-09T00:00:00"/>
    <n v="10"/>
    <x v="5"/>
    <x v="41"/>
    <x v="30"/>
  </r>
  <r>
    <d v="2026-07-09T00:00:00"/>
    <n v="10"/>
    <x v="4"/>
    <x v="19"/>
    <x v="13"/>
  </r>
  <r>
    <d v="2026-07-09T00:00:00"/>
    <n v="10"/>
    <x v="4"/>
    <x v="31"/>
    <x v="24"/>
  </r>
  <r>
    <d v="2026-07-09T00:00:00"/>
    <n v="10"/>
    <x v="4"/>
    <x v="15"/>
    <x v="13"/>
  </r>
  <r>
    <d v="2026-07-09T00:00:00"/>
    <n v="10"/>
    <x v="4"/>
    <x v="16"/>
    <x v="14"/>
  </r>
  <r>
    <d v="2026-07-09T00:00:00"/>
    <n v="10"/>
    <x v="4"/>
    <x v="25"/>
    <x v="20"/>
  </r>
  <r>
    <d v="2026-07-09T00:00:00"/>
    <n v="10"/>
    <x v="8"/>
    <x v="32"/>
    <x v="24"/>
  </r>
  <r>
    <d v="2026-07-09T00:00:00"/>
    <n v="10"/>
    <x v="4"/>
    <x v="39"/>
    <x v="29"/>
  </r>
  <r>
    <d v="2026-07-09T00:00:00"/>
    <n v="10"/>
    <x v="4"/>
    <x v="24"/>
    <x v="19"/>
  </r>
  <r>
    <d v="2026-07-11T00:00:00"/>
    <n v="10"/>
    <x v="9"/>
    <x v="34"/>
    <x v="26"/>
  </r>
  <r>
    <d v="2026-07-11T00:00:00"/>
    <n v="10"/>
    <x v="9"/>
    <x v="49"/>
    <x v="34"/>
  </r>
  <r>
    <d v="2026-07-11T00:00:00"/>
    <n v="10"/>
    <x v="9"/>
    <x v="52"/>
    <x v="36"/>
  </r>
  <r>
    <d v="2026-07-11T00:00:00"/>
    <n v="10"/>
    <x v="9"/>
    <x v="53"/>
    <x v="37"/>
  </r>
  <r>
    <d v="2026-07-11T00:00:00"/>
    <n v="10"/>
    <x v="0"/>
    <x v="2"/>
    <x v="2"/>
  </r>
  <r>
    <d v="2026-07-11T00:00:00"/>
    <n v="10"/>
    <x v="0"/>
    <x v="1"/>
    <x v="1"/>
  </r>
  <r>
    <d v="2026-07-11T00:00:00"/>
    <n v="10"/>
    <x v="1"/>
    <x v="6"/>
    <x v="6"/>
  </r>
  <r>
    <d v="2026-07-11T00:00:00"/>
    <n v="10"/>
    <x v="1"/>
    <x v="5"/>
    <x v="5"/>
  </r>
  <r>
    <d v="2026-07-11T00:00:00"/>
    <n v="10"/>
    <x v="2"/>
    <x v="4"/>
    <x v="4"/>
  </r>
  <r>
    <d v="2026-07-11T00:00:00"/>
    <n v="10"/>
    <x v="2"/>
    <x v="44"/>
    <x v="13"/>
  </r>
  <r>
    <d v="2026-07-11T00:00:00"/>
    <n v="10"/>
    <x v="2"/>
    <x v="56"/>
    <x v="40"/>
  </r>
  <r>
    <d v="2026-07-11T00:00:00"/>
    <n v="10"/>
    <x v="3"/>
    <x v="7"/>
    <x v="7"/>
  </r>
  <r>
    <d v="2026-07-11T00:00:00"/>
    <n v="10"/>
    <x v="3"/>
    <x v="8"/>
    <x v="7"/>
  </r>
  <r>
    <d v="2026-07-11T00:00:00"/>
    <n v="10"/>
    <x v="3"/>
    <x v="13"/>
    <x v="11"/>
  </r>
  <r>
    <d v="2026-07-11T00:00:00"/>
    <n v="10"/>
    <x v="3"/>
    <x v="12"/>
    <x v="10"/>
  </r>
  <r>
    <d v="2026-07-11T00:00:00"/>
    <n v="10"/>
    <x v="3"/>
    <x v="50"/>
    <x v="35"/>
  </r>
  <r>
    <d v="2026-07-11T00:00:00"/>
    <n v="10"/>
    <x v="3"/>
    <x v="9"/>
    <x v="8"/>
  </r>
  <r>
    <d v="2026-07-11T00:00:00"/>
    <n v="10"/>
    <x v="3"/>
    <x v="10"/>
    <x v="8"/>
  </r>
  <r>
    <d v="2026-07-11T00:00:00"/>
    <n v="10"/>
    <x v="3"/>
    <x v="35"/>
    <x v="8"/>
  </r>
  <r>
    <d v="2026-07-11T00:00:00"/>
    <n v="10"/>
    <x v="3"/>
    <x v="11"/>
    <x v="9"/>
  </r>
  <r>
    <d v="2026-07-11T00:00:00"/>
    <n v="5"/>
    <x v="4"/>
    <x v="14"/>
    <x v="12"/>
  </r>
  <r>
    <d v="2026-07-11T00:00:00"/>
    <n v="10"/>
    <x v="4"/>
    <x v="24"/>
    <x v="19"/>
  </r>
  <r>
    <d v="2026-07-11T00:00:00"/>
    <n v="10"/>
    <x v="4"/>
    <x v="19"/>
    <x v="13"/>
  </r>
  <r>
    <d v="2026-07-11T00:00:00"/>
    <n v="10"/>
    <x v="5"/>
    <x v="41"/>
    <x v="30"/>
  </r>
  <r>
    <d v="2026-07-11T00:00:00"/>
    <n v="10"/>
    <x v="4"/>
    <x v="23"/>
    <x v="39"/>
  </r>
  <r>
    <d v="2026-07-11T00:00:00"/>
    <n v="2"/>
    <x v="4"/>
    <x v="39"/>
    <x v="29"/>
  </r>
  <r>
    <d v="2026-07-11T00:00:00"/>
    <n v="10"/>
    <x v="4"/>
    <x v="15"/>
    <x v="13"/>
  </r>
  <r>
    <d v="2026-07-11T00:00:00"/>
    <n v="10"/>
    <x v="6"/>
    <x v="20"/>
    <x v="16"/>
  </r>
  <r>
    <d v="2026-07-11T00:00:00"/>
    <n v="10"/>
    <x v="4"/>
    <x v="21"/>
    <x v="17"/>
  </r>
  <r>
    <d v="2026-07-11T00:00:00"/>
    <n v="10"/>
    <x v="4"/>
    <x v="18"/>
    <x v="15"/>
  </r>
  <r>
    <d v="2026-07-11T00:00:00"/>
    <n v="10"/>
    <x v="4"/>
    <x v="31"/>
    <x v="24"/>
  </r>
  <r>
    <d v="2026-07-11T00:00:00"/>
    <n v="10"/>
    <x v="4"/>
    <x v="25"/>
    <x v="20"/>
  </r>
  <r>
    <d v="2026-07-11T00:00:00"/>
    <n v="2"/>
    <x v="4"/>
    <x v="59"/>
    <x v="13"/>
  </r>
  <r>
    <d v="2026-07-11T00:00:00"/>
    <n v="2"/>
    <x v="4"/>
    <x v="30"/>
    <x v="23"/>
  </r>
  <r>
    <d v="2026-07-11T00:00:00"/>
    <n v="10"/>
    <x v="8"/>
    <x v="32"/>
    <x v="24"/>
  </r>
  <r>
    <d v="2026-07-11T00:00:00"/>
    <n v="10"/>
    <x v="4"/>
    <x v="16"/>
    <x v="14"/>
  </r>
  <r>
    <d v="2026-07-11T00:00:00"/>
    <n v="10"/>
    <x v="3"/>
    <x v="40"/>
    <x v="8"/>
  </r>
  <r>
    <d v="2026-07-12T00:00:00"/>
    <n v="10"/>
    <x v="9"/>
    <x v="34"/>
    <x v="26"/>
  </r>
  <r>
    <d v="2026-07-12T00:00:00"/>
    <n v="10"/>
    <x v="9"/>
    <x v="52"/>
    <x v="36"/>
  </r>
  <r>
    <d v="2026-07-12T00:00:00"/>
    <n v="10"/>
    <x v="9"/>
    <x v="53"/>
    <x v="37"/>
  </r>
  <r>
    <d v="2026-07-12T00:00:00"/>
    <n v="10"/>
    <x v="0"/>
    <x v="2"/>
    <x v="2"/>
  </r>
  <r>
    <d v="2026-07-12T00:00:00"/>
    <n v="10"/>
    <x v="0"/>
    <x v="0"/>
    <x v="0"/>
  </r>
  <r>
    <d v="2026-07-12T00:00:00"/>
    <n v="10"/>
    <x v="0"/>
    <x v="1"/>
    <x v="1"/>
  </r>
  <r>
    <d v="2026-07-12T00:00:00"/>
    <n v="10"/>
    <x v="1"/>
    <x v="6"/>
    <x v="6"/>
  </r>
  <r>
    <d v="2026-07-12T00:00:00"/>
    <n v="10"/>
    <x v="1"/>
    <x v="5"/>
    <x v="5"/>
  </r>
  <r>
    <d v="2026-07-12T00:00:00"/>
    <n v="8"/>
    <x v="1"/>
    <x v="3"/>
    <x v="3"/>
  </r>
  <r>
    <d v="2026-07-12T00:00:00"/>
    <n v="10"/>
    <x v="2"/>
    <x v="4"/>
    <x v="4"/>
  </r>
  <r>
    <d v="2026-07-12T00:00:00"/>
    <n v="10"/>
    <x v="2"/>
    <x v="44"/>
    <x v="13"/>
  </r>
  <r>
    <d v="2026-07-12T00:00:00"/>
    <n v="10"/>
    <x v="2"/>
    <x v="56"/>
    <x v="40"/>
  </r>
  <r>
    <d v="2026-07-12T00:00:00"/>
    <n v="10"/>
    <x v="2"/>
    <x v="57"/>
    <x v="41"/>
  </r>
  <r>
    <d v="2026-07-12T00:00:00"/>
    <n v="10"/>
    <x v="3"/>
    <x v="7"/>
    <x v="7"/>
  </r>
  <r>
    <d v="2026-07-12T00:00:00"/>
    <n v="10"/>
    <x v="3"/>
    <x v="8"/>
    <x v="7"/>
  </r>
  <r>
    <d v="2026-07-12T00:00:00"/>
    <n v="10"/>
    <x v="3"/>
    <x v="13"/>
    <x v="11"/>
  </r>
  <r>
    <d v="2026-07-12T00:00:00"/>
    <n v="10"/>
    <x v="3"/>
    <x v="12"/>
    <x v="10"/>
  </r>
  <r>
    <d v="2026-07-12T00:00:00"/>
    <n v="10"/>
    <x v="3"/>
    <x v="50"/>
    <x v="35"/>
  </r>
  <r>
    <d v="2026-07-12T00:00:00"/>
    <n v="10"/>
    <x v="3"/>
    <x v="11"/>
    <x v="9"/>
  </r>
  <r>
    <d v="2026-07-12T00:00:00"/>
    <n v="10"/>
    <x v="3"/>
    <x v="10"/>
    <x v="8"/>
  </r>
  <r>
    <d v="2026-07-12T00:00:00"/>
    <n v="10"/>
    <x v="3"/>
    <x v="40"/>
    <x v="8"/>
  </r>
  <r>
    <d v="2026-07-12T00:00:00"/>
    <n v="10"/>
    <x v="3"/>
    <x v="35"/>
    <x v="8"/>
  </r>
  <r>
    <d v="2026-07-12T00:00:00"/>
    <n v="10"/>
    <x v="4"/>
    <x v="14"/>
    <x v="12"/>
  </r>
  <r>
    <d v="2026-07-12T00:00:00"/>
    <n v="10"/>
    <x v="4"/>
    <x v="15"/>
    <x v="13"/>
  </r>
  <r>
    <d v="2026-07-12T00:00:00"/>
    <n v="10"/>
    <x v="6"/>
    <x v="20"/>
    <x v="16"/>
  </r>
  <r>
    <d v="2026-07-12T00:00:00"/>
    <n v="10"/>
    <x v="4"/>
    <x v="21"/>
    <x v="17"/>
  </r>
  <r>
    <d v="2026-07-12T00:00:00"/>
    <n v="10"/>
    <x v="4"/>
    <x v="31"/>
    <x v="24"/>
  </r>
  <r>
    <d v="2026-07-12T00:00:00"/>
    <n v="10"/>
    <x v="4"/>
    <x v="18"/>
    <x v="15"/>
  </r>
  <r>
    <d v="2026-07-12T00:00:00"/>
    <n v="10"/>
    <x v="4"/>
    <x v="25"/>
    <x v="20"/>
  </r>
  <r>
    <d v="2026-07-12T00:00:00"/>
    <n v="10"/>
    <x v="8"/>
    <x v="32"/>
    <x v="24"/>
  </r>
  <r>
    <d v="2026-07-12T00:00:00"/>
    <n v="3"/>
    <x v="4"/>
    <x v="60"/>
    <x v="13"/>
  </r>
  <r>
    <d v="2026-07-12T00:00:00"/>
    <n v="10"/>
    <x v="4"/>
    <x v="19"/>
    <x v="13"/>
  </r>
  <r>
    <d v="2026-07-12T00:00:00"/>
    <n v="10"/>
    <x v="4"/>
    <x v="24"/>
    <x v="19"/>
  </r>
  <r>
    <d v="2026-07-12T00:00:00"/>
    <n v="10"/>
    <x v="5"/>
    <x v="41"/>
    <x v="30"/>
  </r>
  <r>
    <d v="2026-07-12T00:00:00"/>
    <n v="10"/>
    <x v="4"/>
    <x v="23"/>
    <x v="39"/>
  </r>
  <r>
    <d v="2026-07-12T00:00:00"/>
    <n v="10"/>
    <x v="4"/>
    <x v="16"/>
    <x v="14"/>
  </r>
  <r>
    <d v="2026-07-12T00:00:00"/>
    <n v="10"/>
    <x v="10"/>
    <x v="48"/>
    <x v="33"/>
  </r>
  <r>
    <d v="2026-07-12T00:00:00"/>
    <n v="10"/>
    <x v="9"/>
    <x v="53"/>
    <x v="37"/>
  </r>
  <r>
    <d v="2026-07-12T00:00:00"/>
    <n v="10"/>
    <x v="2"/>
    <x v="4"/>
    <x v="4"/>
  </r>
  <r>
    <d v="2026-07-13T00:00:00"/>
    <n v="10"/>
    <x v="9"/>
    <x v="34"/>
    <x v="26"/>
  </r>
  <r>
    <d v="2026-07-13T00:00:00"/>
    <n v="10"/>
    <x v="9"/>
    <x v="52"/>
    <x v="36"/>
  </r>
  <r>
    <d v="2026-07-13T00:00:00"/>
    <n v="10"/>
    <x v="9"/>
    <x v="53"/>
    <x v="37"/>
  </r>
  <r>
    <d v="2026-07-13T00:00:00"/>
    <n v="10"/>
    <x v="0"/>
    <x v="2"/>
    <x v="2"/>
  </r>
  <r>
    <d v="2026-07-13T00:00:00"/>
    <n v="10"/>
    <x v="0"/>
    <x v="0"/>
    <x v="0"/>
  </r>
  <r>
    <d v="2026-07-13T00:00:00"/>
    <n v="10"/>
    <x v="0"/>
    <x v="1"/>
    <x v="1"/>
  </r>
  <r>
    <d v="2026-07-13T00:00:00"/>
    <n v="10"/>
    <x v="1"/>
    <x v="6"/>
    <x v="6"/>
  </r>
  <r>
    <d v="2026-07-13T00:00:00"/>
    <n v="10"/>
    <x v="1"/>
    <x v="5"/>
    <x v="5"/>
  </r>
  <r>
    <d v="2026-07-13T00:00:00"/>
    <n v="10"/>
    <x v="1"/>
    <x v="3"/>
    <x v="3"/>
  </r>
  <r>
    <d v="2026-07-13T00:00:00"/>
    <n v="10"/>
    <x v="2"/>
    <x v="4"/>
    <x v="4"/>
  </r>
  <r>
    <d v="2026-07-13T00:00:00"/>
    <n v="10"/>
    <x v="2"/>
    <x v="44"/>
    <x v="13"/>
  </r>
  <r>
    <d v="2026-07-13T00:00:00"/>
    <n v="10"/>
    <x v="2"/>
    <x v="56"/>
    <x v="40"/>
  </r>
  <r>
    <d v="2026-07-13T00:00:00"/>
    <n v="10"/>
    <x v="2"/>
    <x v="57"/>
    <x v="41"/>
  </r>
  <r>
    <d v="2026-07-13T00:00:00"/>
    <n v="10"/>
    <x v="10"/>
    <x v="43"/>
    <x v="32"/>
  </r>
  <r>
    <d v="2026-07-13T00:00:00"/>
    <n v="10"/>
    <x v="10"/>
    <x v="61"/>
    <x v="42"/>
  </r>
  <r>
    <d v="2026-07-13T00:00:00"/>
    <n v="10"/>
    <x v="3"/>
    <x v="7"/>
    <x v="7"/>
  </r>
  <r>
    <d v="2026-07-13T00:00:00"/>
    <n v="10"/>
    <x v="3"/>
    <x v="8"/>
    <x v="7"/>
  </r>
  <r>
    <d v="2026-07-13T00:00:00"/>
    <n v="10"/>
    <x v="3"/>
    <x v="13"/>
    <x v="11"/>
  </r>
  <r>
    <d v="2026-07-13T00:00:00"/>
    <n v="10"/>
    <x v="3"/>
    <x v="12"/>
    <x v="10"/>
  </r>
  <r>
    <d v="2026-07-13T00:00:00"/>
    <n v="10"/>
    <x v="3"/>
    <x v="50"/>
    <x v="35"/>
  </r>
  <r>
    <d v="2026-07-13T00:00:00"/>
    <n v="10"/>
    <x v="3"/>
    <x v="11"/>
    <x v="9"/>
  </r>
  <r>
    <d v="2026-07-13T00:00:00"/>
    <n v="10"/>
    <x v="3"/>
    <x v="10"/>
    <x v="8"/>
  </r>
  <r>
    <d v="2026-07-13T00:00:00"/>
    <n v="10"/>
    <x v="3"/>
    <x v="40"/>
    <x v="8"/>
  </r>
  <r>
    <d v="2026-07-13T00:00:00"/>
    <n v="10"/>
    <x v="3"/>
    <x v="35"/>
    <x v="8"/>
  </r>
  <r>
    <d v="2026-07-13T00:00:00"/>
    <n v="10"/>
    <x v="4"/>
    <x v="14"/>
    <x v="12"/>
  </r>
  <r>
    <d v="2026-07-13T00:00:00"/>
    <n v="10"/>
    <x v="4"/>
    <x v="21"/>
    <x v="17"/>
  </r>
  <r>
    <d v="2026-07-13T00:00:00"/>
    <n v="10"/>
    <x v="6"/>
    <x v="20"/>
    <x v="16"/>
  </r>
  <r>
    <d v="2026-07-13T00:00:00"/>
    <n v="10"/>
    <x v="4"/>
    <x v="18"/>
    <x v="15"/>
  </r>
  <r>
    <d v="2026-07-13T00:00:00"/>
    <n v="10"/>
    <x v="5"/>
    <x v="41"/>
    <x v="30"/>
  </r>
  <r>
    <d v="2026-07-13T00:00:00"/>
    <n v="10"/>
    <x v="4"/>
    <x v="25"/>
    <x v="20"/>
  </r>
  <r>
    <d v="2026-07-13T00:00:00"/>
    <n v="10"/>
    <x v="4"/>
    <x v="19"/>
    <x v="13"/>
  </r>
  <r>
    <d v="2026-07-13T00:00:00"/>
    <n v="10"/>
    <x v="4"/>
    <x v="24"/>
    <x v="19"/>
  </r>
  <r>
    <d v="2026-07-13T00:00:00"/>
    <n v="10"/>
    <x v="4"/>
    <x v="16"/>
    <x v="14"/>
  </r>
  <r>
    <d v="2026-07-13T00:00:00"/>
    <n v="10"/>
    <x v="3"/>
    <x v="9"/>
    <x v="8"/>
  </r>
  <r>
    <d v="2026-07-13T00:00:00"/>
    <n v="10"/>
    <x v="4"/>
    <x v="31"/>
    <x v="24"/>
  </r>
  <r>
    <d v="2026-07-13T00:00:00"/>
    <n v="10"/>
    <x v="8"/>
    <x v="32"/>
    <x v="24"/>
  </r>
  <r>
    <d v="2026-07-14T00:00:00"/>
    <n v="10"/>
    <x v="9"/>
    <x v="34"/>
    <x v="26"/>
  </r>
  <r>
    <d v="2026-07-14T00:00:00"/>
    <n v="10"/>
    <x v="9"/>
    <x v="52"/>
    <x v="36"/>
  </r>
  <r>
    <d v="2026-07-14T00:00:00"/>
    <n v="10"/>
    <x v="9"/>
    <x v="53"/>
    <x v="37"/>
  </r>
  <r>
    <d v="2026-07-14T00:00:00"/>
    <n v="10"/>
    <x v="9"/>
    <x v="49"/>
    <x v="34"/>
  </r>
  <r>
    <d v="2026-07-14T00:00:00"/>
    <n v="10"/>
    <x v="0"/>
    <x v="2"/>
    <x v="2"/>
  </r>
  <r>
    <d v="2026-07-14T00:00:00"/>
    <n v="10"/>
    <x v="0"/>
    <x v="0"/>
    <x v="0"/>
  </r>
  <r>
    <d v="2026-07-14T00:00:00"/>
    <n v="3"/>
    <x v="0"/>
    <x v="1"/>
    <x v="1"/>
  </r>
  <r>
    <d v="2026-07-14T00:00:00"/>
    <n v="10"/>
    <x v="1"/>
    <x v="6"/>
    <x v="6"/>
  </r>
  <r>
    <d v="2026-07-14T00:00:00"/>
    <n v="10"/>
    <x v="1"/>
    <x v="5"/>
    <x v="5"/>
  </r>
  <r>
    <d v="2026-07-14T00:00:00"/>
    <n v="10"/>
    <x v="1"/>
    <x v="3"/>
    <x v="3"/>
  </r>
  <r>
    <d v="2026-07-14T00:00:00"/>
    <n v="5"/>
    <x v="2"/>
    <x v="4"/>
    <x v="4"/>
  </r>
  <r>
    <d v="2026-07-14T00:00:00"/>
    <n v="10"/>
    <x v="2"/>
    <x v="44"/>
    <x v="13"/>
  </r>
  <r>
    <d v="2026-07-14T00:00:00"/>
    <n v="10"/>
    <x v="2"/>
    <x v="56"/>
    <x v="40"/>
  </r>
  <r>
    <d v="2026-07-14T00:00:00"/>
    <n v="10"/>
    <x v="2"/>
    <x v="57"/>
    <x v="41"/>
  </r>
  <r>
    <d v="2026-07-14T00:00:00"/>
    <n v="10"/>
    <x v="3"/>
    <x v="7"/>
    <x v="7"/>
  </r>
  <r>
    <d v="2026-07-14T00:00:00"/>
    <n v="10"/>
    <x v="3"/>
    <x v="8"/>
    <x v="7"/>
  </r>
  <r>
    <d v="2026-07-14T00:00:00"/>
    <n v="10"/>
    <x v="3"/>
    <x v="13"/>
    <x v="11"/>
  </r>
  <r>
    <d v="2026-07-14T00:00:00"/>
    <n v="10"/>
    <x v="3"/>
    <x v="12"/>
    <x v="10"/>
  </r>
  <r>
    <d v="2026-07-14T00:00:00"/>
    <n v="10"/>
    <x v="3"/>
    <x v="50"/>
    <x v="35"/>
  </r>
  <r>
    <d v="2026-07-14T00:00:00"/>
    <n v="10"/>
    <x v="3"/>
    <x v="11"/>
    <x v="9"/>
  </r>
  <r>
    <d v="2026-07-14T00:00:00"/>
    <n v="10"/>
    <x v="3"/>
    <x v="10"/>
    <x v="8"/>
  </r>
  <r>
    <d v="2026-07-14T00:00:00"/>
    <n v="10"/>
    <x v="3"/>
    <x v="40"/>
    <x v="8"/>
  </r>
  <r>
    <d v="2026-07-14T00:00:00"/>
    <n v="10"/>
    <x v="3"/>
    <x v="35"/>
    <x v="8"/>
  </r>
  <r>
    <d v="2026-07-14T00:00:00"/>
    <n v="10"/>
    <x v="3"/>
    <x v="9"/>
    <x v="8"/>
  </r>
  <r>
    <d v="2026-07-14T00:00:00"/>
    <n v="10"/>
    <x v="10"/>
    <x v="61"/>
    <x v="42"/>
  </r>
  <r>
    <d v="2026-07-14T00:00:00"/>
    <n v="10"/>
    <x v="4"/>
    <x v="31"/>
    <x v="24"/>
  </r>
  <r>
    <d v="2026-07-14T00:00:00"/>
    <n v="10"/>
    <x v="8"/>
    <x v="32"/>
    <x v="24"/>
  </r>
  <r>
    <d v="2026-07-14T00:00:00"/>
    <n v="10"/>
    <x v="2"/>
    <x v="44"/>
    <x v="13"/>
  </r>
  <r>
    <d v="2026-07-14T00:00:00"/>
    <n v="10"/>
    <x v="2"/>
    <x v="57"/>
    <x v="41"/>
  </r>
  <r>
    <d v="2026-07-14T00:00:00"/>
    <n v="10"/>
    <x v="3"/>
    <x v="10"/>
    <x v="8"/>
  </r>
  <r>
    <d v="2026-07-14T00:00:00"/>
    <n v="10"/>
    <x v="9"/>
    <x v="49"/>
    <x v="34"/>
  </r>
  <r>
    <d v="2026-07-14T00:00:00"/>
    <n v="10"/>
    <x v="10"/>
    <x v="62"/>
    <x v="13"/>
  </r>
  <r>
    <d v="2026-07-14T00:00:00"/>
    <n v="10"/>
    <x v="5"/>
    <x v="41"/>
    <x v="30"/>
  </r>
  <r>
    <d v="2026-07-14T00:00:00"/>
    <n v="10"/>
    <x v="4"/>
    <x v="14"/>
    <x v="12"/>
  </r>
  <r>
    <d v="2026-07-14T00:00:00"/>
    <n v="10"/>
    <x v="4"/>
    <x v="24"/>
    <x v="19"/>
  </r>
  <r>
    <d v="2026-07-14T00:00:00"/>
    <n v="10"/>
    <x v="4"/>
    <x v="19"/>
    <x v="13"/>
  </r>
  <r>
    <d v="2026-07-14T00:00:00"/>
    <n v="10"/>
    <x v="4"/>
    <x v="21"/>
    <x v="17"/>
  </r>
  <r>
    <d v="2026-07-14T00:00:00"/>
    <n v="10"/>
    <x v="6"/>
    <x v="20"/>
    <x v="16"/>
  </r>
  <r>
    <d v="2026-07-14T00:00:00"/>
    <n v="10"/>
    <x v="4"/>
    <x v="18"/>
    <x v="15"/>
  </r>
  <r>
    <d v="2026-07-14T00:00:00"/>
    <n v="10"/>
    <x v="4"/>
    <x v="16"/>
    <x v="14"/>
  </r>
  <r>
    <d v="2026-07-14T00:00:00"/>
    <n v="10"/>
    <x v="4"/>
    <x v="25"/>
    <x v="20"/>
  </r>
  <r>
    <d v="2026-07-14T00:00:00"/>
    <n v="10"/>
    <x v="4"/>
    <x v="37"/>
    <x v="13"/>
  </r>
  <r>
    <d v="2026-07-14T00:00:00"/>
    <n v="10"/>
    <x v="4"/>
    <x v="60"/>
    <x v="13"/>
  </r>
  <r>
    <d v="2026-07-15T00:00:00"/>
    <n v="10"/>
    <x v="9"/>
    <x v="34"/>
    <x v="26"/>
  </r>
  <r>
    <d v="2026-07-15T00:00:00"/>
    <n v="10"/>
    <x v="9"/>
    <x v="52"/>
    <x v="36"/>
  </r>
  <r>
    <d v="2026-07-15T00:00:00"/>
    <n v="10"/>
    <x v="9"/>
    <x v="53"/>
    <x v="37"/>
  </r>
  <r>
    <d v="2026-07-15T00:00:00"/>
    <n v="10"/>
    <x v="9"/>
    <x v="49"/>
    <x v="34"/>
  </r>
  <r>
    <d v="2026-07-15T00:00:00"/>
    <n v="10"/>
    <x v="0"/>
    <x v="2"/>
    <x v="2"/>
  </r>
  <r>
    <d v="2026-07-15T00:00:00"/>
    <n v="10"/>
    <x v="11"/>
    <x v="63"/>
    <x v="8"/>
  </r>
  <r>
    <d v="2026-07-15T00:00:00"/>
    <n v="10"/>
    <x v="1"/>
    <x v="5"/>
    <x v="5"/>
  </r>
  <r>
    <d v="2026-07-15T00:00:00"/>
    <n v="10"/>
    <x v="1"/>
    <x v="6"/>
    <x v="6"/>
  </r>
  <r>
    <d v="2026-07-15T00:00:00"/>
    <n v="10"/>
    <x v="1"/>
    <x v="3"/>
    <x v="3"/>
  </r>
  <r>
    <d v="2026-07-15T00:00:00"/>
    <n v="10"/>
    <x v="10"/>
    <x v="61"/>
    <x v="42"/>
  </r>
  <r>
    <d v="2026-07-15T00:00:00"/>
    <n v="10"/>
    <x v="2"/>
    <x v="4"/>
    <x v="4"/>
  </r>
  <r>
    <d v="2026-07-15T00:00:00"/>
    <s v="remont"/>
    <x v="2"/>
    <x v="44"/>
    <x v="13"/>
  </r>
  <r>
    <d v="2026-07-15T00:00:00"/>
    <n v="10"/>
    <x v="2"/>
    <x v="56"/>
    <x v="40"/>
  </r>
  <r>
    <d v="2026-07-15T00:00:00"/>
    <n v="10"/>
    <x v="2"/>
    <x v="57"/>
    <x v="41"/>
  </r>
  <r>
    <d v="2026-07-15T00:00:00"/>
    <n v="10"/>
    <x v="3"/>
    <x v="7"/>
    <x v="7"/>
  </r>
  <r>
    <d v="2026-07-15T00:00:00"/>
    <n v="10"/>
    <x v="3"/>
    <x v="8"/>
    <x v="7"/>
  </r>
  <r>
    <d v="2026-07-15T00:00:00"/>
    <n v="10"/>
    <x v="3"/>
    <x v="12"/>
    <x v="10"/>
  </r>
  <r>
    <d v="2026-07-15T00:00:00"/>
    <n v="10"/>
    <x v="3"/>
    <x v="50"/>
    <x v="35"/>
  </r>
  <r>
    <d v="2026-07-15T00:00:00"/>
    <n v="10"/>
    <x v="3"/>
    <x v="10"/>
    <x v="8"/>
  </r>
  <r>
    <d v="2026-07-15T00:00:00"/>
    <n v="10"/>
    <x v="4"/>
    <x v="19"/>
    <x v="13"/>
  </r>
  <r>
    <d v="2026-07-15T00:00:00"/>
    <n v="10"/>
    <x v="4"/>
    <x v="24"/>
    <x v="19"/>
  </r>
  <r>
    <d v="2026-07-15T00:00:00"/>
    <n v="10"/>
    <x v="4"/>
    <x v="18"/>
    <x v="15"/>
  </r>
  <r>
    <d v="2026-07-15T00:00:00"/>
    <n v="10"/>
    <x v="4"/>
    <x v="31"/>
    <x v="24"/>
  </r>
  <r>
    <d v="2026-07-15T00:00:00"/>
    <n v="10"/>
    <x v="8"/>
    <x v="32"/>
    <x v="24"/>
  </r>
  <r>
    <d v="2026-07-15T00:00:00"/>
    <n v="10"/>
    <x v="2"/>
    <x v="4"/>
    <x v="4"/>
  </r>
  <r>
    <d v="2026-07-15T00:00:00"/>
    <n v="10"/>
    <x v="3"/>
    <x v="10"/>
    <x v="8"/>
  </r>
  <r>
    <d v="2026-07-15T00:00:00"/>
    <n v="10"/>
    <x v="9"/>
    <x v="49"/>
    <x v="34"/>
  </r>
  <r>
    <d v="2026-07-15T00:00:00"/>
    <n v="10"/>
    <x v="10"/>
    <x v="62"/>
    <x v="13"/>
  </r>
  <r>
    <d v="2026-07-15T00:00:00"/>
    <n v="10"/>
    <x v="9"/>
    <x v="53"/>
    <x v="37"/>
  </r>
  <r>
    <d v="2026-07-15T00:00:00"/>
    <n v="10"/>
    <x v="2"/>
    <x v="54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011 AJI"/>
    <s v="Баекенов"/>
    <s v="A-H"/>
    <x v="0"/>
  </r>
  <r>
    <s v="011 SM"/>
    <s v="Шотыбаев"/>
    <s v="A-SH"/>
    <x v="0"/>
  </r>
  <r>
    <s v="013 AKD"/>
    <s v="(пусто)"/>
    <s v="E"/>
    <x v="1"/>
  </r>
  <r>
    <s v="022 AMD"/>
    <s v="Русланов"/>
    <s v="P"/>
    <x v="2"/>
  </r>
  <r>
    <s v="023 INA"/>
    <s v="(пусто)"/>
    <s v="A-SH"/>
    <x v="0"/>
  </r>
  <r>
    <s v="029 AOD"/>
    <s v="Куанышбаев"/>
    <s v="P"/>
    <x v="2"/>
  </r>
  <r>
    <s v="058 AMY"/>
    <s v="Куанышбайев"/>
    <s v="A-SH"/>
    <x v="0"/>
  </r>
  <r>
    <s v="087 AKD"/>
    <s v="Абылхаиров"/>
    <s v="P"/>
    <x v="2"/>
  </r>
  <r>
    <s v="089 AMD"/>
    <s v="Саликов"/>
    <s v="E"/>
    <x v="1"/>
  </r>
  <r>
    <s v="094 AHX"/>
    <s v="Жилкибаев"/>
    <s v="A-H"/>
    <x v="0"/>
  </r>
  <r>
    <s v="171 AWA"/>
    <s v="(пусто)"/>
    <s v="A-SH"/>
    <x v="0"/>
  </r>
  <r>
    <s v="176 ADM"/>
    <s v="Бежанов"/>
    <s v="A-C"/>
    <x v="0"/>
  </r>
  <r>
    <s v="178 AXD"/>
    <s v="Койшыбаев"/>
    <s v="K"/>
    <x v="3"/>
  </r>
  <r>
    <s v="191 ABV"/>
    <s v="Қалдыгулов"/>
    <s v="A-SH"/>
    <x v="0"/>
  </r>
  <r>
    <s v="221 ACF"/>
    <s v="(пусто)"/>
    <s v="A-H"/>
    <x v="0"/>
  </r>
  <r>
    <s v="222 APD"/>
    <s v="Куанышбаев"/>
    <s v="P"/>
    <x v="2"/>
  </r>
  <r>
    <s v="243 AKK"/>
    <s v="(пусто)"/>
    <s v="A-SH"/>
    <x v="0"/>
  </r>
  <r>
    <s v="248 AAF"/>
    <s v="Сагынжан"/>
    <s v="(пусто)"/>
    <x v="4"/>
  </r>
  <r>
    <s v="252 AKD"/>
    <s v="Нуспенов"/>
    <s v="K"/>
    <x v="3"/>
  </r>
  <r>
    <s v="252 ALD"/>
    <s v="Тургумбаев"/>
    <s v="E"/>
    <x v="1"/>
  </r>
  <r>
    <s v="263 AEG"/>
    <s v="Горбань"/>
    <s v="V"/>
    <x v="5"/>
  </r>
  <r>
    <s v="296 AMD"/>
    <s v="Абылхаиров"/>
    <s v="P"/>
    <x v="2"/>
  </r>
  <r>
    <s v="304 ALD"/>
    <s v="Абылхаиров"/>
    <s v="P"/>
    <x v="2"/>
  </r>
  <r>
    <s v="305 ALZ"/>
    <s v="Шаубаев"/>
    <s v="A-S"/>
    <x v="0"/>
  </r>
  <r>
    <s v="315 AOD"/>
    <s v="Молдаев"/>
    <s v="G"/>
    <x v="6"/>
  </r>
  <r>
    <s v="337 ABU"/>
    <s v="(пусто)"/>
    <s v="A-H"/>
    <x v="0"/>
  </r>
  <r>
    <s v="353 FJ"/>
    <s v="(пусто)"/>
    <s v="A-H"/>
    <x v="0"/>
  </r>
  <r>
    <s v="370 APD"/>
    <s v="Абылхаиров"/>
    <s v="(пусто)"/>
    <x v="4"/>
  </r>
  <r>
    <s v="374 AHO"/>
    <s v="Сағынай С"/>
    <s v="A-F"/>
    <x v="0"/>
  </r>
  <r>
    <s v="375 AJI"/>
    <s v="Данияров М"/>
    <s v="A-SH"/>
    <x v="0"/>
  </r>
  <r>
    <s v="379 ALD"/>
    <s v="Кенжебаев"/>
    <s v="P"/>
    <x v="2"/>
  </r>
  <r>
    <s v="390 AHU"/>
    <s v="(пусто)"/>
    <s v="A-SH"/>
    <x v="0"/>
  </r>
  <r>
    <s v="412 AOD"/>
    <s v="Медыбаев"/>
    <s v="B"/>
    <x v="7"/>
  </r>
  <r>
    <s v="413 AOD"/>
    <s v="Узакбаев"/>
    <s v="B"/>
    <x v="7"/>
  </r>
  <r>
    <s v="419 AKY"/>
    <s v="Толегенов"/>
    <s v="V"/>
    <x v="5"/>
  </r>
  <r>
    <s v="462 AHI"/>
    <s v="Макенов"/>
    <s v="A-SH"/>
    <x v="0"/>
  </r>
  <r>
    <s v="470 AJV"/>
    <s v="Ерусиз"/>
    <s v="A-SH"/>
    <x v="0"/>
  </r>
  <r>
    <s v="484 ADB"/>
    <s v="Құлсарин"/>
    <s v="A-SH"/>
    <x v="0"/>
  </r>
  <r>
    <m/>
    <s v="Куяшева"/>
    <s v="A-H"/>
    <x v="0"/>
  </r>
  <r>
    <s v="529 ALC"/>
    <s v="Бисембай"/>
    <s v="A-H"/>
    <x v="0"/>
  </r>
  <r>
    <s v="540 AKJ"/>
    <s v="(пусто)"/>
    <s v="A-SH"/>
    <x v="0"/>
  </r>
  <r>
    <s v="547 AKX"/>
    <s v="Муханов "/>
    <s v="A-SH"/>
    <x v="0"/>
  </r>
  <r>
    <s v="563 GK"/>
    <s v="(пусто)"/>
    <s v="A-H"/>
    <x v="0"/>
  </r>
  <r>
    <s v="595 AKD"/>
    <s v="Балгазин"/>
    <s v="G"/>
    <x v="6"/>
  </r>
  <r>
    <s v="597 AND"/>
    <s v="Абитов "/>
    <s v="G"/>
    <x v="6"/>
  </r>
  <r>
    <s v="632 AND"/>
    <s v="БАймурзин"/>
    <s v="G"/>
    <x v="6"/>
  </r>
  <r>
    <s v="682 AMR"/>
    <s v="Кенжегулов"/>
    <s v="A-SH"/>
    <x v="0"/>
  </r>
  <r>
    <s v="695 AWD"/>
    <s v="Табанов "/>
    <s v="E"/>
    <x v="1"/>
  </r>
  <r>
    <s v="696 AWD"/>
    <s v="Дуйсенбаев"/>
    <s v="P"/>
    <x v="2"/>
  </r>
  <r>
    <s v="705 FB"/>
    <s v="(пусто)"/>
    <s v="A-H"/>
    <x v="0"/>
  </r>
  <r>
    <s v="710 ABL"/>
    <s v="Игилмалов"/>
    <s v="A-SH"/>
    <x v="0"/>
  </r>
  <r>
    <s v="715 AHV"/>
    <s v="Шаубаев"/>
    <s v="A-SH"/>
    <x v="0"/>
  </r>
  <r>
    <s v="738 AKR"/>
    <s v="(пусто)"/>
    <s v="A-SH"/>
    <x v="0"/>
  </r>
  <r>
    <s v="750 AEB"/>
    <s v="Гаврилов"/>
    <s v="A-SH"/>
    <x v="0"/>
  </r>
  <r>
    <s v="769 AND"/>
    <s v="Бисенов"/>
    <s v="K"/>
    <x v="3"/>
  </r>
  <r>
    <s v="795 AED"/>
    <s v="Шугуров"/>
    <s v="B"/>
    <x v="7"/>
  </r>
  <r>
    <s v="805 AIG"/>
    <s v="Женарь"/>
    <s v="A-SH"/>
    <x v="0"/>
  </r>
  <r>
    <s v="813 AKY"/>
    <s v="(пусто)"/>
    <s v="V"/>
    <x v="5"/>
  </r>
  <r>
    <s v="819 AKY"/>
    <s v="Тулегенов"/>
    <s v="V"/>
    <x v="5"/>
  </r>
  <r>
    <s v="833 AJM"/>
    <s v="(пусто)"/>
    <s v="A-SH"/>
    <x v="0"/>
  </r>
  <r>
    <s v="852 AOD"/>
    <s v="Хорченко А"/>
    <s v="P"/>
    <x v="2"/>
  </r>
  <r>
    <s v="902 AOD"/>
    <s v="Абылхаиров"/>
    <s v="P"/>
    <x v="2"/>
  </r>
  <r>
    <s v="961 AKH"/>
    <s v="(пусто)"/>
    <s v="A-SH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d v="2026-07-02T00:00:00"/>
    <s v="B"/>
    <x v="0"/>
    <n v="200"/>
  </r>
  <r>
    <d v="2026-07-02T00:00:00"/>
    <s v="E"/>
    <x v="1"/>
    <n v="415"/>
  </r>
  <r>
    <d v="2026-07-02T00:00:00"/>
    <s v="P"/>
    <x v="2"/>
    <n v="220"/>
  </r>
  <r>
    <d v="2026-07-02T00:00:00"/>
    <s v="K"/>
    <x v="3"/>
    <n v="120"/>
  </r>
  <r>
    <d v="2026-07-02T00:00:00"/>
    <s v="P"/>
    <x v="4"/>
    <n v="142"/>
  </r>
  <r>
    <d v="2026-07-02T00:00:00"/>
    <s v="P"/>
    <x v="5"/>
    <n v="187"/>
  </r>
  <r>
    <d v="2026-07-02T00:00:00"/>
    <s v="P"/>
    <x v="6"/>
    <n v="224"/>
  </r>
  <r>
    <d v="2026-07-02T00:00:00"/>
    <s v="P"/>
    <x v="7"/>
    <n v="160"/>
  </r>
  <r>
    <d v="2026-07-02T00:00:00"/>
    <s v="B"/>
    <x v="8"/>
    <n v="280"/>
  </r>
  <r>
    <d v="2026-07-02T00:00:00"/>
    <s v="P"/>
    <x v="9"/>
    <n v="215"/>
  </r>
  <r>
    <d v="2026-07-02T00:00:00"/>
    <s v="P"/>
    <x v="5"/>
    <n v="150"/>
  </r>
  <r>
    <d v="2026-07-02T00:00:00"/>
    <s v="P"/>
    <x v="2"/>
    <n v="110"/>
  </r>
  <r>
    <d v="2026-07-02T00:00:00"/>
    <s v="P"/>
    <x v="10"/>
    <n v="140"/>
  </r>
  <r>
    <d v="2026-07-02T00:00:00"/>
    <s v="E"/>
    <x v="1"/>
    <n v="300"/>
  </r>
  <r>
    <d v="2026-07-02T00:00:00"/>
    <s v="K"/>
    <x v="11"/>
    <n v="95"/>
  </r>
  <r>
    <d v="2026-07-02T00:00:00"/>
    <s v="P"/>
    <x v="12"/>
    <n v="85"/>
  </r>
  <r>
    <d v="2026-07-04T00:00:00"/>
    <s v="K"/>
    <x v="13"/>
    <n v="138"/>
  </r>
  <r>
    <d v="2026-07-04T00:00:00"/>
    <s v="B"/>
    <x v="0"/>
    <n v="281"/>
  </r>
  <r>
    <d v="2026-07-04T00:00:00"/>
    <s v="P"/>
    <x v="7"/>
    <n v="214"/>
  </r>
  <r>
    <d v="2026-07-04T00:00:00"/>
    <s v="K"/>
    <x v="3"/>
    <n v="125"/>
  </r>
  <r>
    <d v="2026-07-04T00:00:00"/>
    <s v="P"/>
    <x v="6"/>
    <n v="201"/>
  </r>
  <r>
    <d v="2026-07-04T00:00:00"/>
    <s v="P"/>
    <x v="5"/>
    <n v="162"/>
  </r>
  <r>
    <d v="2026-07-04T00:00:00"/>
    <s v="P"/>
    <x v="4"/>
    <n v="186"/>
  </r>
  <r>
    <d v="2026-07-04T00:00:00"/>
    <s v="P"/>
    <x v="12"/>
    <n v="215"/>
  </r>
  <r>
    <d v="2026-07-04T00:00:00"/>
    <s v="E"/>
    <x v="1"/>
    <n v="400"/>
  </r>
  <r>
    <d v="2026-07-04T00:00:00"/>
    <s v="G"/>
    <x v="14"/>
    <n v="218"/>
  </r>
  <r>
    <d v="2026-07-04T00:00:00"/>
    <s v="P"/>
    <x v="10"/>
    <n v="146"/>
  </r>
  <r>
    <d v="2026-07-04T00:00:00"/>
    <s v="P"/>
    <x v="15"/>
    <n v="110"/>
  </r>
  <r>
    <d v="2026-07-04T00:00:00"/>
    <s v="P"/>
    <x v="9"/>
    <n v="173"/>
  </r>
  <r>
    <d v="2026-07-04T00:00:00"/>
    <s v="B"/>
    <x v="16"/>
    <n v="250"/>
  </r>
  <r>
    <d v="2026-07-04T00:00:00"/>
    <s v="P"/>
    <x v="2"/>
    <n v="191"/>
  </r>
  <r>
    <d v="2026-07-04T00:00:00"/>
    <s v="P"/>
    <x v="5"/>
    <n v="161"/>
  </r>
  <r>
    <d v="2026-07-04T00:00:00"/>
    <s v="K"/>
    <x v="11"/>
    <n v="119"/>
  </r>
  <r>
    <d v="2026-07-04T00:00:00"/>
    <s v="P"/>
    <x v="10"/>
    <n v="220"/>
  </r>
  <r>
    <d v="2026-07-04T00:00:00"/>
    <s v="P"/>
    <x v="7"/>
    <n v="120"/>
  </r>
  <r>
    <d v="2026-07-04T00:00:00"/>
    <s v="P"/>
    <x v="12"/>
    <n v="74"/>
  </r>
  <r>
    <d v="2026-07-05T00:00:00"/>
    <s v="E"/>
    <x v="1"/>
    <n v="370"/>
  </r>
  <r>
    <d v="2026-07-05T00:00:00"/>
    <s v="KM"/>
    <x v="17"/>
    <n v="251"/>
  </r>
  <r>
    <d v="2026-07-05T00:00:00"/>
    <s v="E"/>
    <x v="18"/>
    <n v="414"/>
  </r>
  <r>
    <d v="2026-07-05T00:00:00"/>
    <s v="P"/>
    <x v="9"/>
    <n v="186"/>
  </r>
  <r>
    <d v="2026-07-05T00:00:00"/>
    <s v="P"/>
    <x v="15"/>
    <n v="131"/>
  </r>
  <r>
    <d v="2026-07-05T00:00:00"/>
    <s v="P"/>
    <x v="5"/>
    <n v="159"/>
  </r>
  <r>
    <d v="2026-07-05T00:00:00"/>
    <s v="P"/>
    <x v="4"/>
    <n v="186"/>
  </r>
  <r>
    <d v="2026-07-05T00:00:00"/>
    <s v="P"/>
    <x v="10"/>
    <n v="102"/>
  </r>
  <r>
    <d v="2026-07-05T00:00:00"/>
    <s v="P"/>
    <x v="19"/>
    <n v="147"/>
  </r>
  <r>
    <d v="2026-07-06T00:00:00"/>
    <s v="B"/>
    <x v="0"/>
    <n v="280"/>
  </r>
  <r>
    <d v="2026-07-06T00:00:00"/>
    <s v="G"/>
    <x v="14"/>
    <n v="214"/>
  </r>
  <r>
    <d v="2026-07-06T00:00:00"/>
    <s v="P"/>
    <x v="12"/>
    <n v="96"/>
  </r>
  <r>
    <d v="2026-07-06T00:00:00"/>
    <s v="P"/>
    <x v="7"/>
    <n v="120"/>
  </r>
  <r>
    <d v="2026-07-06T00:00:00"/>
    <s v="G"/>
    <x v="20"/>
    <n v="249"/>
  </r>
  <r>
    <d v="2026-07-06T00:00:00"/>
    <s v="E"/>
    <x v="1"/>
    <n v="300"/>
  </r>
  <r>
    <d v="2026-07-06T00:00:00"/>
    <s v="E"/>
    <x v="18"/>
    <n v="150"/>
  </r>
  <r>
    <d v="2026-07-06T00:00:00"/>
    <s v="P"/>
    <x v="5"/>
    <n v="150"/>
  </r>
  <r>
    <d v="2026-07-06T00:00:00"/>
    <s v="P"/>
    <x v="12"/>
    <n v="75"/>
  </r>
  <r>
    <d v="2026-07-06T00:00:00"/>
    <s v="P"/>
    <x v="9"/>
    <n v="217"/>
  </r>
  <r>
    <d v="2026-07-06T00:00:00"/>
    <s v="P"/>
    <x v="4"/>
    <n v="79"/>
  </r>
  <r>
    <d v="2026-07-06T00:00:00"/>
    <s v="P"/>
    <x v="21"/>
    <n v="215"/>
  </r>
  <r>
    <d v="2026-07-06T00:00:00"/>
    <s v="P"/>
    <x v="7"/>
    <n v="93"/>
  </r>
  <r>
    <d v="2026-07-06T00:00:00"/>
    <s v="P"/>
    <x v="22"/>
    <n v="108"/>
  </r>
  <r>
    <d v="2026-07-06T00:00:00"/>
    <s v="P"/>
    <x v="10"/>
    <n v="120"/>
  </r>
  <r>
    <d v="2026-07-06T00:00:00"/>
    <s v="K"/>
    <x v="13"/>
    <n v="162"/>
  </r>
  <r>
    <d v="2026-07-07T00:00:00"/>
    <s v="G"/>
    <x v="23"/>
    <n v="200"/>
  </r>
  <r>
    <d v="2026-07-07T00:00:00"/>
    <s v="G"/>
    <x v="24"/>
    <n v="221"/>
  </r>
  <r>
    <d v="2026-07-07T00:00:00"/>
    <s v="E"/>
    <x v="1"/>
    <n v="403"/>
  </r>
  <r>
    <d v="2026-07-07T00:00:00"/>
    <s v="E"/>
    <x v="18"/>
    <n v="340"/>
  </r>
  <r>
    <d v="2026-07-07T00:00:00"/>
    <s v="P"/>
    <x v="7"/>
    <n v="77"/>
  </r>
  <r>
    <d v="2026-07-07T00:00:00"/>
    <s v="P"/>
    <x v="12"/>
    <n v="96"/>
  </r>
  <r>
    <d v="2026-07-07T00:00:00"/>
    <s v="G"/>
    <x v="20"/>
    <n v="250"/>
  </r>
  <r>
    <d v="2026-07-07T00:00:00"/>
    <s v="G"/>
    <x v="14"/>
    <n v="200"/>
  </r>
  <r>
    <d v="2026-07-07T00:00:00"/>
    <s v="P"/>
    <x v="6"/>
    <n v="211"/>
  </r>
  <r>
    <d v="2026-07-07T00:00:00"/>
    <s v="P"/>
    <x v="21"/>
    <n v="121"/>
  </r>
  <r>
    <d v="2026-07-07T00:00:00"/>
    <s v="P"/>
    <x v="10"/>
    <n v="91"/>
  </r>
  <r>
    <d v="2026-07-07T00:00:00"/>
    <s v="P"/>
    <x v="22"/>
    <n v="78"/>
  </r>
  <r>
    <d v="2026-07-08T00:00:00"/>
    <s v="B"/>
    <x v="0"/>
    <n v="223"/>
  </r>
  <r>
    <d v="2026-07-08T00:00:00"/>
    <s v="P"/>
    <x v="5"/>
    <n v="153"/>
  </r>
  <r>
    <d v="2026-07-08T00:00:00"/>
    <s v="G"/>
    <x v="23"/>
    <n v="170"/>
  </r>
  <r>
    <d v="2026-07-08T00:00:00"/>
    <s v="K"/>
    <x v="25"/>
    <n v="126"/>
  </r>
  <r>
    <d v="2026-07-08T00:00:00"/>
    <s v="K"/>
    <x v="11"/>
    <n v="100"/>
  </r>
  <r>
    <d v="2026-07-08T00:00:00"/>
    <s v="P"/>
    <x v="9"/>
    <n v="184"/>
  </r>
  <r>
    <d v="2026-07-08T00:00:00"/>
    <s v="E"/>
    <x v="26"/>
    <n v="411"/>
  </r>
  <r>
    <d v="2026-07-08T00:00:00"/>
    <s v="E"/>
    <x v="27"/>
    <n v="471"/>
  </r>
  <r>
    <d v="2026-07-08T00:00:00"/>
    <s v="P"/>
    <x v="12"/>
    <n v="81"/>
  </r>
  <r>
    <d v="2026-07-08T00:00:00"/>
    <s v="KM"/>
    <x v="28"/>
    <n v="150"/>
  </r>
  <r>
    <d v="2026-07-08T00:00:00"/>
    <s v="P"/>
    <x v="7"/>
    <n v="78"/>
  </r>
  <r>
    <d v="2026-07-08T00:00:00"/>
    <s v="P"/>
    <x v="5"/>
    <n v="147"/>
  </r>
  <r>
    <d v="2026-07-08T00:00:00"/>
    <s v="P"/>
    <x v="21"/>
    <n v="116"/>
  </r>
  <r>
    <d v="2026-07-08T00:00:00"/>
    <s v="P"/>
    <x v="10"/>
    <n v="90"/>
  </r>
  <r>
    <d v="2026-07-08T00:00:00"/>
    <s v="K"/>
    <x v="13"/>
    <n v="112"/>
  </r>
  <r>
    <d v="2026-07-08T00:00:00"/>
    <s v="P"/>
    <x v="22"/>
    <n v="130"/>
  </r>
  <r>
    <d v="2026-07-08T00:00:00"/>
    <s v="E"/>
    <x v="1"/>
    <n v="440"/>
  </r>
  <r>
    <d v="2026-07-08T00:00:00"/>
    <s v="E"/>
    <x v="18"/>
    <n v="350"/>
  </r>
  <r>
    <d v="2026-07-09T00:00:00"/>
    <s v="B"/>
    <x v="16"/>
    <n v="280"/>
  </r>
  <r>
    <d v="2026-07-09T00:00:00"/>
    <s v="G"/>
    <x v="24"/>
    <n v="200"/>
  </r>
  <r>
    <d v="2026-07-09T00:00:00"/>
    <s v="G"/>
    <x v="23"/>
    <n v="142"/>
  </r>
  <r>
    <d v="2026-07-09T00:00:00"/>
    <s v="E"/>
    <x v="1"/>
    <n v="410"/>
  </r>
  <r>
    <d v="2026-07-09T00:00:00"/>
    <s v="E"/>
    <x v="18"/>
    <n v="300"/>
  </r>
  <r>
    <d v="2026-07-10T00:00:00"/>
    <s v="P"/>
    <x v="9"/>
    <n v="194"/>
  </r>
  <r>
    <d v="2026-07-10T00:00:00"/>
    <s v="P"/>
    <x v="21"/>
    <n v="97"/>
  </r>
  <r>
    <d v="2026-07-10T00:00:00"/>
    <s v="B"/>
    <x v="0"/>
    <n v="294"/>
  </r>
  <r>
    <d v="2026-07-10T00:00:00"/>
    <s v="G"/>
    <x v="23"/>
    <n v="130"/>
  </r>
  <r>
    <d v="2026-07-10T00:00:00"/>
    <s v="P"/>
    <x v="4"/>
    <n v="199"/>
  </r>
  <r>
    <d v="2026-07-10T00:00:00"/>
    <s v="P"/>
    <x v="10"/>
    <n v="81"/>
  </r>
  <r>
    <d v="2026-07-10T00:00:00"/>
    <s v="G"/>
    <x v="20"/>
    <n v="230"/>
  </r>
  <r>
    <d v="2026-07-11T00:00:00"/>
    <s v="P"/>
    <x v="5"/>
    <n v="178"/>
  </r>
  <r>
    <d v="2026-07-11T00:00:00"/>
    <s v="P"/>
    <x v="22"/>
    <n v="153"/>
  </r>
  <r>
    <d v="2026-07-11T00:00:00"/>
    <s v="G"/>
    <x v="14"/>
    <n v="170"/>
  </r>
  <r>
    <d v="2026-07-11T00:00:00"/>
    <s v="P"/>
    <x v="12"/>
    <n v="90"/>
  </r>
  <r>
    <d v="2026-07-11T00:00:00"/>
    <s v="P"/>
    <x v="15"/>
    <n v="57"/>
  </r>
  <r>
    <d v="2026-07-11T00:00:00"/>
    <s v="P"/>
    <x v="7"/>
    <n v="117"/>
  </r>
  <r>
    <d v="2026-07-11T00:00:00"/>
    <s v="P"/>
    <x v="6"/>
    <n v="169"/>
  </r>
  <r>
    <d v="2026-07-11T00:00:00"/>
    <s v="G"/>
    <x v="24"/>
    <n v="200"/>
  </r>
  <r>
    <d v="2026-07-11T00:00:00"/>
    <s v="P"/>
    <x v="9"/>
    <n v="137"/>
  </r>
  <r>
    <d v="2026-07-11T00:00:00"/>
    <s v="P"/>
    <x v="7"/>
    <n v="100"/>
  </r>
  <r>
    <d v="2026-07-11T00:00:00"/>
    <s v="P"/>
    <x v="21"/>
    <n v="87"/>
  </r>
  <r>
    <d v="2026-07-11T00:00:00"/>
    <s v="P"/>
    <x v="12"/>
    <n v="57"/>
  </r>
  <r>
    <d v="2026-07-11T00:00:00"/>
    <s v="P"/>
    <x v="10"/>
    <n v="100"/>
  </r>
  <r>
    <d v="2026-07-11T00:00:00"/>
    <s v="P"/>
    <x v="5"/>
    <n v="165"/>
  </r>
  <r>
    <d v="2026-07-11T00:00:00"/>
    <s v="K"/>
    <x v="13"/>
    <n v="113"/>
  </r>
  <r>
    <d v="2026-07-12T00:00:00"/>
    <s v="B"/>
    <x v="8"/>
    <n v="265"/>
  </r>
  <r>
    <d v="2026-07-12T00:00:00"/>
    <s v="B"/>
    <x v="16"/>
    <n v="250"/>
  </r>
  <r>
    <d v="2026-07-12T00:00:00"/>
    <s v="P"/>
    <x v="15"/>
    <n v="140"/>
  </r>
  <r>
    <d v="2026-07-12T00:00:00"/>
    <s v="E"/>
    <x v="1"/>
    <n v="387"/>
  </r>
  <r>
    <d v="2026-07-12T00:00:00"/>
    <s v="E"/>
    <x v="18"/>
    <n v="300"/>
  </r>
  <r>
    <d v="2026-07-12T00:00:00"/>
    <s v="E"/>
    <x v="27"/>
    <n v="426"/>
  </r>
  <r>
    <d v="2026-07-12T00:00:00"/>
    <s v="E"/>
    <x v="26"/>
    <n v="257"/>
  </r>
  <r>
    <d v="2026-07-12T00:00:00"/>
    <s v="G"/>
    <x v="23"/>
    <n v="280"/>
  </r>
  <r>
    <d v="2026-07-12T00:00:00"/>
    <s v="P"/>
    <x v="12"/>
    <n v="68"/>
  </r>
  <r>
    <d v="2026-07-12T00:00:00"/>
    <s v="P"/>
    <x v="21"/>
    <n v="95"/>
  </r>
  <r>
    <d v="2026-07-12T00:00:00"/>
    <s v="P"/>
    <x v="9"/>
    <n v="145"/>
  </r>
  <r>
    <d v="2026-07-12T00:00:00"/>
    <s v="P"/>
    <x v="4"/>
    <n v="120"/>
  </r>
  <r>
    <d v="2026-07-12T00:00:00"/>
    <s v="P"/>
    <x v="5"/>
    <n v="148"/>
  </r>
  <r>
    <d v="2026-07-12T00:00:00"/>
    <s v="P"/>
    <x v="7"/>
    <n v="88"/>
  </r>
  <r>
    <d v="2026-07-12T00:00:00"/>
    <s v="G"/>
    <x v="14"/>
    <n v="181"/>
  </r>
  <r>
    <d v="2026-07-12T00:00:00"/>
    <s v="P"/>
    <x v="24"/>
    <n v="100"/>
  </r>
  <r>
    <d v="2026-07-13T00:00:00"/>
    <s v="E"/>
    <x v="1"/>
    <n v="418"/>
  </r>
  <r>
    <d v="2026-07-13T00:00:00"/>
    <s v="K"/>
    <x v="11"/>
    <n v="123"/>
  </r>
  <r>
    <d v="2026-07-13T00:00:00"/>
    <s v="K"/>
    <x v="3"/>
    <n v="100"/>
  </r>
  <r>
    <d v="2026-07-13T00:00:00"/>
    <s v="P"/>
    <x v="22"/>
    <n v="116"/>
  </r>
  <r>
    <d v="2026-07-13T00:00:00"/>
    <s v="E"/>
    <x v="26"/>
    <n v="267"/>
  </r>
  <r>
    <d v="2026-07-13T00:00:00"/>
    <s v="E"/>
    <x v="1"/>
    <n v="400"/>
  </r>
  <r>
    <d v="2026-07-13T00:00:00"/>
    <s v="E"/>
    <x v="18"/>
    <n v="409"/>
  </r>
  <r>
    <d v="2026-07-13T00:00:00"/>
    <s v="BCH"/>
    <x v="29"/>
    <n v="600"/>
  </r>
  <r>
    <d v="2026-07-14T00:00:00"/>
    <s v="G"/>
    <x v="23"/>
    <n v="290"/>
  </r>
  <r>
    <d v="2026-07-14T00:00:00"/>
    <s v="P"/>
    <x v="9"/>
    <n v="190"/>
  </r>
  <r>
    <d v="2026-07-14T00:00:00"/>
    <s v="P"/>
    <x v="22"/>
    <n v="135"/>
  </r>
  <r>
    <d v="2026-07-14T00:00:00"/>
    <s v="P"/>
    <x v="6"/>
    <n v="255"/>
  </r>
  <r>
    <d v="2026-07-14T00:00:00"/>
    <s v="K"/>
    <x v="13"/>
    <n v="100"/>
  </r>
  <r>
    <d v="2026-07-14T00:00:00"/>
    <s v="B"/>
    <x v="0"/>
    <n v="401"/>
  </r>
  <r>
    <d v="2026-07-14T00:00:00"/>
    <s v="P"/>
    <x v="21"/>
    <n v="118"/>
  </r>
  <r>
    <d v="2026-07-14T00:00:00"/>
    <s v="P"/>
    <x v="5"/>
    <n v="138"/>
  </r>
  <r>
    <d v="2026-07-14T00:00:00"/>
    <s v="P"/>
    <x v="4"/>
    <n v="88"/>
  </r>
  <r>
    <d v="2026-07-14T00:00:00"/>
    <s v="P"/>
    <x v="12"/>
    <n v="107"/>
  </r>
  <r>
    <d v="2026-07-14T00:00:00"/>
    <s v="P"/>
    <x v="7"/>
    <n v="118"/>
  </r>
  <r>
    <d v="2026-07-14T00:00:00"/>
    <s v="K"/>
    <x v="3"/>
    <n v="100"/>
  </r>
  <r>
    <d v="2026-07-14T00:00:00"/>
    <s v="P"/>
    <x v="15"/>
    <n v="146"/>
  </r>
  <r>
    <d v="2026-07-14T00:00:00"/>
    <s v="V"/>
    <x v="17"/>
    <n v="200"/>
  </r>
  <r>
    <d v="2026-07-14T00:00:00"/>
    <s v="G"/>
    <x v="24"/>
    <n v="197"/>
  </r>
  <r>
    <d v="2026-07-14T00:00:00"/>
    <s v="B"/>
    <x v="8"/>
    <n v="281"/>
  </r>
  <r>
    <d v="2026-07-14T00:00:00"/>
    <s v="P"/>
    <x v="10"/>
    <n v="130"/>
  </r>
  <r>
    <d v="2026-07-14T00:00:00"/>
    <s v="B"/>
    <x v="30"/>
    <n v="140"/>
  </r>
  <r>
    <d v="2026-07-14T00:00:00"/>
    <s v="E"/>
    <x v="1"/>
    <n v="200"/>
  </r>
  <r>
    <d v="2026-07-14T00:00:00"/>
    <s v="E"/>
    <x v="18"/>
    <n v="200"/>
  </r>
  <r>
    <d v="2026-07-14T00:00:00"/>
    <s v="E"/>
    <x v="1"/>
    <n v="350"/>
  </r>
  <r>
    <d v="2026-07-14T00:00:00"/>
    <s v="E"/>
    <x v="18"/>
    <n v="400"/>
  </r>
  <r>
    <d v="2026-07-14T00:00:00"/>
    <s v="E"/>
    <x v="27"/>
    <n v="443"/>
  </r>
  <r>
    <d v="2026-07-14T00:00:00"/>
    <s v="P"/>
    <x v="5"/>
    <n v="100"/>
  </r>
  <r>
    <d v="2026-07-14T00:00:00"/>
    <s v="G"/>
    <x v="14"/>
    <n v="176"/>
  </r>
  <r>
    <d v="2026-07-14T00:00:00"/>
    <s v="P"/>
    <x v="7"/>
    <n v="95"/>
  </r>
  <r>
    <d v="2026-07-14T00:00:00"/>
    <s v="BCH"/>
    <x v="29"/>
    <n v="400"/>
  </r>
  <r>
    <d v="2026-07-15T00:00:00"/>
    <s v="P"/>
    <x v="7"/>
    <n v="100"/>
  </r>
  <r>
    <d v="2026-07-15T00:00:00"/>
    <s v="G"/>
    <x v="23"/>
    <n v="141"/>
  </r>
  <r>
    <d v="2026-07-15T00:00:00"/>
    <s v="P"/>
    <x v="21"/>
    <n v="90"/>
  </r>
  <r>
    <d v="2026-07-15T00:00:00"/>
    <s v="G"/>
    <x v="20"/>
    <n v="200"/>
  </r>
  <r>
    <d v="2026-07-15T00:00:00"/>
    <s v="P"/>
    <x v="4"/>
    <n v="75"/>
  </r>
  <r>
    <d v="2026-07-15T00:00:00"/>
    <s v="P"/>
    <x v="6"/>
    <n v="145"/>
  </r>
  <r>
    <d v="2026-07-15T00:00:00"/>
    <s v="G"/>
    <x v="24"/>
    <n v="182"/>
  </r>
  <r>
    <d v="2026-07-15T00:00:00"/>
    <s v="P"/>
    <x v="7"/>
    <n v="75"/>
  </r>
  <r>
    <d v="2026-07-15T00:00:00"/>
    <s v="E"/>
    <x v="26"/>
    <n v="200"/>
  </r>
  <r>
    <d v="2026-07-15T00:00:00"/>
    <s v="E"/>
    <x v="18"/>
    <n v="400"/>
  </r>
  <r>
    <d v="2026-07-15T00:00:00"/>
    <s v="BCH"/>
    <x v="29"/>
    <n v="590"/>
  </r>
  <r>
    <d v="2026-07-15T00:00:00"/>
    <s v="K"/>
    <x v="3"/>
    <n v="142"/>
  </r>
  <r>
    <d v="2026-07-15T00:00:00"/>
    <s v="P"/>
    <x v="5"/>
    <n v="128"/>
  </r>
  <r>
    <d v="2026-07-15T00:00:00"/>
    <s v="B"/>
    <x v="30"/>
    <n v="150"/>
  </r>
  <r>
    <d v="2026-07-15T00:00:00"/>
    <s v="K"/>
    <x v="11"/>
    <n v="142"/>
  </r>
  <r>
    <d v="2026-07-15T00:00:00"/>
    <s v="K"/>
    <x v="13"/>
    <n v="105"/>
  </r>
  <r>
    <d v="2026-07-15T00:00:00"/>
    <s v="P"/>
    <x v="21"/>
    <n v="133"/>
  </r>
  <r>
    <d v="2026-07-15T00:00:00"/>
    <s v="A-SH"/>
    <x v="31"/>
    <n v="107"/>
  </r>
  <r>
    <d v="2026-07-15T00:00:00"/>
    <s v="A-SH"/>
    <x v="32"/>
    <n v="183"/>
  </r>
  <r>
    <d v="2026-07-15T00:00:00"/>
    <s v="E"/>
    <x v="1"/>
    <n v="400"/>
  </r>
  <r>
    <d v="2026-07-15T00:00:00"/>
    <s v="E"/>
    <x v="18"/>
    <n v="360"/>
  </r>
  <r>
    <d v="2026-07-15T00:00:00"/>
    <s v="KM"/>
    <x v="33"/>
    <n v="100"/>
  </r>
  <r>
    <d v="2026-07-15T00:00:00"/>
    <s v="E"/>
    <x v="34"/>
    <n v="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d v="2026-07-08T00:00:00"/>
    <x v="0"/>
    <s v="Хова"/>
    <s v="02"/>
    <n v="12"/>
  </r>
  <r>
    <d v="2026-07-08T00:00:00"/>
    <x v="1"/>
    <s v="Хова "/>
    <s v="02"/>
    <n v="12"/>
  </r>
  <r>
    <d v="2026-07-08T00:00:00"/>
    <x v="2"/>
    <s v="Шахман "/>
    <s v="04"/>
    <n v="9"/>
  </r>
  <r>
    <d v="2026-07-08T00:00:00"/>
    <x v="3"/>
    <s v="Хова "/>
    <s v="04"/>
    <n v="10"/>
  </r>
  <r>
    <d v="2026-07-08T00:00:00"/>
    <x v="4"/>
    <s v="Хова "/>
    <s v="02"/>
    <n v="14"/>
  </r>
  <r>
    <d v="2026-07-08T00:00:00"/>
    <x v="5"/>
    <s v="FAW  "/>
    <s v="04"/>
    <n v="10"/>
  </r>
  <r>
    <d v="2026-07-08T00:00:00"/>
    <x v="6"/>
    <s v="Шахман "/>
    <s v="04"/>
    <n v="5"/>
  </r>
  <r>
    <d v="2026-07-08T00:00:00"/>
    <x v="7"/>
    <m/>
    <s v="04"/>
    <n v="4"/>
  </r>
  <r>
    <d v="2026-07-08T00:00:00"/>
    <x v="8"/>
    <s v="Шахман"/>
    <s v="04"/>
    <n v="5"/>
  </r>
  <r>
    <d v="2026-07-08T00:00:00"/>
    <x v="9"/>
    <s v="Шахман "/>
    <s v="04"/>
    <n v="9"/>
  </r>
  <r>
    <d v="2026-07-08T00:00:00"/>
    <x v="10"/>
    <s v="Шахман"/>
    <m/>
    <n v="12"/>
  </r>
  <r>
    <d v="2026-07-09T00:00:00"/>
    <x v="1"/>
    <s v="Хова"/>
    <s v="02"/>
    <n v="15"/>
  </r>
  <r>
    <d v="2026-07-09T00:00:00"/>
    <x v="7"/>
    <s v="Шахман"/>
    <s v="04"/>
    <n v="13"/>
  </r>
  <r>
    <d v="2026-07-09T00:00:00"/>
    <x v="4"/>
    <s v="Хова"/>
    <s v="02"/>
    <n v="13"/>
  </r>
  <r>
    <d v="2026-07-09T00:00:00"/>
    <x v="0"/>
    <s v="Хова"/>
    <s v="02"/>
    <n v="13"/>
  </r>
  <r>
    <d v="2026-07-09T00:00:00"/>
    <x v="11"/>
    <s v="Хова"/>
    <s v="04"/>
    <n v="12"/>
  </r>
  <r>
    <d v="2026-07-09T00:00:00"/>
    <x v="10"/>
    <s v="Шахман"/>
    <s v="04"/>
    <n v="14"/>
  </r>
  <r>
    <d v="2026-07-09T00:00:00"/>
    <x v="6"/>
    <s v="Шахман"/>
    <s v="04"/>
    <n v="11"/>
  </r>
  <r>
    <d v="2026-07-09T00:00:00"/>
    <x v="8"/>
    <s v="Шахман"/>
    <s v="04"/>
    <n v="11"/>
  </r>
  <r>
    <d v="2026-07-09T00:00:00"/>
    <x v="3"/>
    <s v="Хова"/>
    <s v="04"/>
    <n v="13"/>
  </r>
  <r>
    <d v="2026-07-09T00:00:00"/>
    <x v="12"/>
    <s v="Хова"/>
    <s v="02"/>
    <n v="12"/>
  </r>
  <r>
    <d v="2026-07-09T00:00:00"/>
    <x v="9"/>
    <s v="Шахман"/>
    <s v="04"/>
    <n v="13"/>
  </r>
  <r>
    <d v="2026-07-09T00:00:00"/>
    <x v="5"/>
    <s v="FAW"/>
    <s v="04"/>
    <n v="12"/>
  </r>
  <r>
    <d v="2026-07-09T00:00:00"/>
    <x v="2"/>
    <s v="Шахман"/>
    <s v="04"/>
    <n v="11"/>
  </r>
  <r>
    <d v="2026-07-09T00:00:00"/>
    <x v="13"/>
    <s v="Шахман"/>
    <s v="04"/>
    <n v="10"/>
  </r>
  <r>
    <d v="2026-07-09T00:00:00"/>
    <x v="14"/>
    <s v="Хова"/>
    <s v="02"/>
    <n v="11"/>
  </r>
  <r>
    <d v="2026-07-09T00:00:00"/>
    <x v="15"/>
    <s v="Шахман"/>
    <s v="04"/>
    <n v="9"/>
  </r>
  <r>
    <d v="2026-07-09T00:00:00"/>
    <x v="16"/>
    <s v="Шахман"/>
    <s v="04"/>
    <n v="12"/>
  </r>
  <r>
    <d v="2026-07-13T00:00:00"/>
    <x v="17"/>
    <s v="Шахман"/>
    <s v="04"/>
    <n v="4"/>
  </r>
  <r>
    <d v="2026-07-13T00:00:00"/>
    <x v="15"/>
    <s v="Хова"/>
    <m/>
    <n v="10"/>
  </r>
  <r>
    <d v="2026-07-13T00:00:00"/>
    <x v="16"/>
    <s v="Шахман"/>
    <s v="04"/>
    <n v="13"/>
  </r>
  <r>
    <d v="2026-07-13T00:00:00"/>
    <x v="18"/>
    <s v="Шахман"/>
    <s v="04"/>
    <n v="11"/>
  </r>
  <r>
    <d v="2026-07-13T00:00:00"/>
    <x v="19"/>
    <s v="Шахман"/>
    <s v="04"/>
    <n v="12"/>
  </r>
  <r>
    <d v="2026-07-13T00:00:00"/>
    <x v="20"/>
    <s v="Шахман"/>
    <s v="04"/>
    <n v="13"/>
  </r>
  <r>
    <d v="2026-07-13T00:00:00"/>
    <x v="21"/>
    <s v="Шахман"/>
    <s v="04"/>
    <n v="13"/>
  </r>
  <r>
    <d v="2026-07-13T00:00:00"/>
    <x v="9"/>
    <s v="Шахман"/>
    <s v="04"/>
    <n v="13"/>
  </r>
  <r>
    <d v="2026-07-13T00:00:00"/>
    <x v="3"/>
    <s v="Хова"/>
    <s v="04"/>
    <n v="12"/>
  </r>
  <r>
    <d v="2026-07-13T00:00:00"/>
    <x v="13"/>
    <s v="Шахман"/>
    <s v="04"/>
    <n v="12"/>
  </r>
  <r>
    <d v="2026-07-13T00:00:00"/>
    <x v="2"/>
    <s v="Шахман"/>
    <s v="04"/>
    <n v="12"/>
  </r>
  <r>
    <d v="2026-07-13T00:00:00"/>
    <x v="7"/>
    <s v="Шахман"/>
    <s v="04"/>
    <n v="12"/>
  </r>
  <r>
    <d v="2026-07-13T00:00:00"/>
    <x v="12"/>
    <s v="Хова"/>
    <s v="02"/>
    <n v="14"/>
  </r>
  <r>
    <d v="2026-07-13T00:00:00"/>
    <x v="6"/>
    <s v="Шахман"/>
    <s v="04"/>
    <n v="16"/>
  </r>
  <r>
    <d v="2026-07-13T00:00:00"/>
    <x v="11"/>
    <s v="Хова"/>
    <s v="04"/>
    <n v="13"/>
  </r>
  <r>
    <d v="2026-07-13T00:00:00"/>
    <x v="10"/>
    <s v="Шахман"/>
    <s v="04"/>
    <n v="14"/>
  </r>
  <r>
    <d v="2026-07-13T00:00:00"/>
    <x v="0"/>
    <s v="FAW"/>
    <s v="04"/>
    <n v="12"/>
  </r>
  <r>
    <d v="2026-07-13T00:00:00"/>
    <x v="22"/>
    <s v="Шахман"/>
    <m/>
    <n v="15"/>
  </r>
  <r>
    <d v="2026-07-13T00:00:00"/>
    <x v="23"/>
    <s v="Шахман"/>
    <s v="04"/>
    <n v="14"/>
  </r>
  <r>
    <d v="2026-07-13T00:00:00"/>
    <x v="24"/>
    <s v="Шахман"/>
    <s v="04"/>
    <n v="10"/>
  </r>
  <r>
    <d v="2026-07-13T00:00:00"/>
    <x v="25"/>
    <s v="Шахман"/>
    <s v="04"/>
    <n v="17"/>
  </r>
  <r>
    <d v="2026-07-13T00:00:00"/>
    <x v="26"/>
    <s v="Шахман"/>
    <m/>
    <n v="8"/>
  </r>
  <r>
    <d v="2026-07-13T00:00:00"/>
    <x v="0"/>
    <s v="Хова"/>
    <s v="02"/>
    <n v="14"/>
  </r>
  <r>
    <d v="2026-07-13T00:00:00"/>
    <x v="10"/>
    <s v="Шахман"/>
    <s v="04"/>
    <n v="12"/>
  </r>
  <r>
    <d v="2026-07-13T00:00:00"/>
    <x v="27"/>
    <s v="Камаз"/>
    <s v="04"/>
    <n v="13"/>
  </r>
  <r>
    <d v="2026-07-13T00:00:00"/>
    <x v="7"/>
    <s v="Шахман"/>
    <s v="04"/>
    <n v="14"/>
  </r>
  <r>
    <d v="2026-07-13T00:00:00"/>
    <x v="28"/>
    <s v="FAW"/>
    <s v="04"/>
    <n v="6"/>
  </r>
  <r>
    <d v="2026-07-13T00:00:00"/>
    <x v="29"/>
    <s v="Шахман"/>
    <m/>
    <n v="6"/>
  </r>
  <r>
    <d v="2026-07-13T00:00:00"/>
    <x v="30"/>
    <s v="Хова"/>
    <s v="02"/>
    <n v="7"/>
  </r>
  <r>
    <d v="2026-07-13T00:00:00"/>
    <x v="31"/>
    <s v="Шахман"/>
    <s v="04"/>
    <n v="6"/>
  </r>
  <r>
    <d v="2026-07-13T00:00:00"/>
    <x v="32"/>
    <s v="Шахман"/>
    <s v="02"/>
    <n v="7"/>
  </r>
  <r>
    <d v="2026-07-13T00:00:00"/>
    <x v="5"/>
    <s v="FAW"/>
    <s v="04"/>
    <n v="7"/>
  </r>
  <r>
    <d v="2026-07-13T00:00:00"/>
    <x v="33"/>
    <s v="Шахман"/>
    <m/>
    <n v="1"/>
  </r>
  <r>
    <d v="2026-07-13T00:00:00"/>
    <x v="34"/>
    <s v="Шахман"/>
    <s v="04"/>
    <n v="16"/>
  </r>
  <r>
    <d v="2026-07-13T00:00:00"/>
    <x v="35"/>
    <s v="Шахман"/>
    <m/>
    <n v="4"/>
  </r>
  <r>
    <d v="2026-07-13T00:00:00"/>
    <x v="5"/>
    <s v="FAW"/>
    <s v="04"/>
    <n v="11"/>
  </r>
  <r>
    <d v="2026-07-14T00:00:00"/>
    <x v="6"/>
    <s v="Шахман"/>
    <s v="04"/>
    <n v="14"/>
  </r>
  <r>
    <d v="2026-07-14T00:00:00"/>
    <x v="5"/>
    <s v="FAW"/>
    <s v="04"/>
    <n v="12"/>
  </r>
  <r>
    <d v="2026-07-14T00:00:00"/>
    <x v="16"/>
    <s v="Шахман"/>
    <s v="04"/>
    <n v="13"/>
  </r>
  <r>
    <d v="2026-07-14T00:00:00"/>
    <x v="23"/>
    <s v="Шахман"/>
    <s v="04"/>
    <n v="14"/>
  </r>
  <r>
    <d v="2026-07-14T00:00:00"/>
    <x v="8"/>
    <s v="Шахман"/>
    <s v="04"/>
    <n v="7"/>
  </r>
  <r>
    <d v="2026-07-14T00:00:00"/>
    <x v="11"/>
    <s v="Хова"/>
    <s v="04"/>
    <n v="12"/>
  </r>
  <r>
    <d v="2026-07-14T00:00:00"/>
    <x v="10"/>
    <s v="Шахман"/>
    <s v="04"/>
    <n v="13"/>
  </r>
  <r>
    <d v="2026-07-14T00:00:00"/>
    <x v="0"/>
    <s v="Хова"/>
    <s v="02"/>
    <n v="14"/>
  </r>
  <r>
    <d v="2026-07-14T00:00:00"/>
    <x v="7"/>
    <s v="Шахман"/>
    <s v="04"/>
    <n v="12"/>
  </r>
  <r>
    <d v="2026-07-14T00:00:00"/>
    <x v="12"/>
    <s v="Хова"/>
    <s v="02"/>
    <n v="14"/>
  </r>
  <r>
    <d v="2026-07-14T00:00:00"/>
    <x v="2"/>
    <s v="Шахман"/>
    <s v="04"/>
    <n v="12"/>
  </r>
  <r>
    <d v="2026-07-14T00:00:00"/>
    <x v="20"/>
    <s v="Шахман"/>
    <s v="04"/>
    <n v="12"/>
  </r>
  <r>
    <d v="2026-07-14T00:00:00"/>
    <x v="21"/>
    <s v="Шахман"/>
    <s v="04"/>
    <n v="12"/>
  </r>
  <r>
    <d v="2026-07-14T00:00:00"/>
    <x v="9"/>
    <s v="Шахман"/>
    <s v="04"/>
    <n v="12"/>
  </r>
  <r>
    <d v="2026-07-14T00:00:00"/>
    <x v="13"/>
    <s v="Шахман"/>
    <s v="04"/>
    <n v="12"/>
  </r>
  <r>
    <d v="2026-07-14T00:00:00"/>
    <x v="15"/>
    <s v="Шахман"/>
    <m/>
    <n v="12"/>
  </r>
  <r>
    <d v="2026-07-14T00:00:00"/>
    <x v="1"/>
    <m/>
    <m/>
    <n v="12"/>
  </r>
  <r>
    <d v="2026-07-14T00:00:00"/>
    <x v="17"/>
    <s v="Шахман"/>
    <m/>
    <n v="7"/>
  </r>
  <r>
    <d v="2026-07-14T00:00:00"/>
    <x v="3"/>
    <s v="Шахман"/>
    <m/>
    <n v="13"/>
  </r>
  <r>
    <d v="2026-07-14T00:00:00"/>
    <x v="18"/>
    <s v="Шахман"/>
    <s v="04"/>
    <n v="11"/>
  </r>
  <r>
    <d v="2026-07-14T00:00:00"/>
    <x v="19"/>
    <s v="Шахман"/>
    <s v="04"/>
    <n v="7"/>
  </r>
  <r>
    <d v="2026-07-14T00:00:00"/>
    <x v="36"/>
    <s v="Шахман"/>
    <m/>
    <n v="4"/>
  </r>
  <r>
    <d v="2026-07-14T00:00:00"/>
    <x v="22"/>
    <s v="Шахман"/>
    <m/>
    <n v="12"/>
  </r>
  <r>
    <d v="2026-07-14T00:00:00"/>
    <x v="13"/>
    <s v="Шахман"/>
    <m/>
    <n v="1"/>
  </r>
  <r>
    <d v="2026-07-14T00:00:00"/>
    <x v="31"/>
    <s v="Шахман"/>
    <s v="04"/>
    <n v="7"/>
  </r>
  <r>
    <d v="2026-07-14T00:00:00"/>
    <x v="26"/>
    <s v="Шахман"/>
    <s v="04"/>
    <n v="7"/>
  </r>
  <r>
    <d v="2026-07-14T00:00:00"/>
    <x v="37"/>
    <s v="Шахман"/>
    <s v="04"/>
    <n v="16"/>
  </r>
  <r>
    <d v="2026-07-14T00:00:00"/>
    <x v="0"/>
    <s v="Хова"/>
    <m/>
    <n v="12"/>
  </r>
  <r>
    <d v="2026-07-14T00:00:00"/>
    <x v="25"/>
    <s v="Шахман"/>
    <s v="04"/>
    <n v="10"/>
  </r>
  <r>
    <d v="2026-07-14T00:00:00"/>
    <x v="5"/>
    <s v="FAW"/>
    <s v="04"/>
    <n v="6"/>
  </r>
  <r>
    <d v="2026-07-14T00:00:00"/>
    <x v="29"/>
    <s v="Шахман"/>
    <m/>
    <n v="6"/>
  </r>
  <r>
    <d v="2026-07-14T00:00:00"/>
    <x v="7"/>
    <s v="Шахман"/>
    <s v="04"/>
    <n v="12"/>
  </r>
  <r>
    <d v="2026-07-14T00:00:00"/>
    <x v="27"/>
    <s v="Камаз"/>
    <s v="04"/>
    <n v="11"/>
  </r>
  <r>
    <d v="2026-07-14T00:00:00"/>
    <x v="32"/>
    <s v="Шахман"/>
    <s v="02"/>
    <n v="5"/>
  </r>
  <r>
    <d v="2026-07-14T00:00:00"/>
    <x v="10"/>
    <s v="Шахман"/>
    <s v="04"/>
    <n v="6"/>
  </r>
  <r>
    <d v="2026-07-14T00:00:00"/>
    <x v="16"/>
    <s v="Шахман"/>
    <s v="04"/>
    <n v="10"/>
  </r>
  <r>
    <d v="2026-07-14T00:00:00"/>
    <x v="28"/>
    <s v="FAW"/>
    <s v="04"/>
    <n v="5"/>
  </r>
  <r>
    <d v="2026-07-14T00:00:00"/>
    <x v="34"/>
    <s v="Шахман"/>
    <s v="04"/>
    <n v="3"/>
  </r>
  <r>
    <d v="2026-07-14T00:00:00"/>
    <x v="38"/>
    <s v="Шахман"/>
    <s v="04"/>
    <n v="2"/>
  </r>
  <r>
    <d v="2026-07-14T00:00:00"/>
    <x v="39"/>
    <s v="Шахман"/>
    <m/>
    <n v="4"/>
  </r>
  <r>
    <d v="2026-07-14T00:00:00"/>
    <x v="40"/>
    <s v="Шахман"/>
    <s v="04"/>
    <n v="4"/>
  </r>
  <r>
    <d v="2026-07-14T00:00:00"/>
    <x v="41"/>
    <s v="Шахман"/>
    <s v="04"/>
    <n v="1"/>
  </r>
  <r>
    <d v="2026-07-14T00:00:00"/>
    <x v="42"/>
    <s v="Шахман"/>
    <s v="04"/>
    <n v="6"/>
  </r>
  <r>
    <d v="2026-07-14T00:00:00"/>
    <x v="43"/>
    <s v="Шахман"/>
    <s v="04"/>
    <n v="1"/>
  </r>
  <r>
    <d v="2026-07-12T00:00:00"/>
    <x v="2"/>
    <s v="Шахман"/>
    <s v="04"/>
    <n v="6"/>
  </r>
  <r>
    <d v="2026-07-12T00:00:00"/>
    <x v="25"/>
    <s v="Шахман"/>
    <s v="04"/>
    <n v="5"/>
  </r>
  <r>
    <d v="2026-07-12T00:00:00"/>
    <x v="16"/>
    <s v="Шахман"/>
    <s v="04"/>
    <n v="14"/>
  </r>
  <r>
    <d v="2026-07-12T00:00:00"/>
    <x v="0"/>
    <s v="Хова"/>
    <s v="02"/>
    <n v="12"/>
  </r>
  <r>
    <d v="2026-07-12T00:00:00"/>
    <x v="10"/>
    <s v="Шахман"/>
    <s v="04"/>
    <n v="13"/>
  </r>
  <r>
    <d v="2026-07-12T00:00:00"/>
    <x v="7"/>
    <s v="Шахман"/>
    <s v="04"/>
    <n v="14"/>
  </r>
  <r>
    <d v="2026-07-12T00:00:00"/>
    <x v="32"/>
    <s v="Шахман"/>
    <s v="02"/>
    <n v="4"/>
  </r>
  <r>
    <d v="2026-07-12T00:00:00"/>
    <x v="30"/>
    <s v="Хова"/>
    <s v="02"/>
    <n v="4"/>
  </r>
  <r>
    <d v="2026-07-12T00:00:00"/>
    <x v="31"/>
    <s v="Шахман"/>
    <s v="04"/>
    <n v="4"/>
  </r>
  <r>
    <d v="2026-07-12T00:00:00"/>
    <x v="28"/>
    <s v="FAW"/>
    <s v="04"/>
    <n v="3"/>
  </r>
  <r>
    <d v="2026-07-12T00:00:00"/>
    <x v="26"/>
    <s v="Шахман"/>
    <s v="04"/>
    <n v="4"/>
  </r>
  <r>
    <d v="2026-07-12T00:00:00"/>
    <x v="33"/>
    <s v="Шахман"/>
    <s v="04"/>
    <n v="4"/>
  </r>
  <r>
    <d v="2026-07-12T00:00:00"/>
    <x v="29"/>
    <s v="Шахман"/>
    <s v="04"/>
    <n v="4"/>
  </r>
  <r>
    <d v="2026-07-12T00:00:00"/>
    <x v="34"/>
    <s v="Шахман"/>
    <s v="04"/>
    <n v="11"/>
  </r>
  <r>
    <d v="2026-07-12T00:00:00"/>
    <x v="0"/>
    <s v="Хова"/>
    <s v="02"/>
    <n v="12"/>
  </r>
  <r>
    <d v="2026-07-12T00:00:00"/>
    <x v="11"/>
    <s v="Хова"/>
    <s v="04"/>
    <n v="14"/>
  </r>
  <r>
    <d v="2026-07-12T00:00:00"/>
    <x v="44"/>
    <s v="Шахман"/>
    <s v="04"/>
    <n v="1"/>
  </r>
  <r>
    <d v="2026-07-12T00:00:00"/>
    <x v="45"/>
    <s v="Шахман"/>
    <s v="04"/>
    <n v="2"/>
  </r>
  <r>
    <d v="2026-07-12T00:00:00"/>
    <x v="16"/>
    <s v="Шахман"/>
    <s v="04"/>
    <n v="14"/>
  </r>
  <r>
    <d v="2026-07-12T00:00:00"/>
    <x v="6"/>
    <s v="Шахман"/>
    <s v="04"/>
    <n v="16"/>
  </r>
  <r>
    <d v="2026-07-12T00:00:00"/>
    <x v="15"/>
    <s v="Шахман"/>
    <s v="04"/>
    <n v="12"/>
  </r>
  <r>
    <d v="2026-07-12T00:00:00"/>
    <x v="23"/>
    <s v="Шахман"/>
    <s v="04"/>
    <n v="13"/>
  </r>
  <r>
    <d v="2026-07-12T00:00:00"/>
    <x v="24"/>
    <s v="Шахман"/>
    <s v="04"/>
    <n v="13"/>
  </r>
  <r>
    <d v="2026-07-12T00:00:00"/>
    <x v="10"/>
    <s v="Шахман"/>
    <s v="04"/>
    <n v="15"/>
  </r>
  <r>
    <d v="2026-07-12T00:00:00"/>
    <x v="20"/>
    <s v="Шахман"/>
    <s v="04"/>
    <n v="10"/>
  </r>
  <r>
    <d v="2026-07-12T00:00:00"/>
    <x v="28"/>
    <s v="FAW"/>
    <s v="04"/>
    <n v="13"/>
  </r>
  <r>
    <d v="2026-07-12T00:00:00"/>
    <x v="30"/>
    <s v="Хова"/>
    <s v="02"/>
    <n v="14"/>
  </r>
  <r>
    <d v="2026-07-12T00:00:00"/>
    <x v="32"/>
    <s v="Шахман"/>
    <s v="02"/>
    <n v="12"/>
  </r>
  <r>
    <d v="2026-07-12T00:00:00"/>
    <x v="26"/>
    <s v="Шахман"/>
    <s v="04"/>
    <n v="13"/>
  </r>
  <r>
    <d v="2026-07-12T00:00:00"/>
    <x v="29"/>
    <s v="Шахман"/>
    <s v="04"/>
    <n v="10"/>
  </r>
  <r>
    <d v="2026-07-12T00:00:00"/>
    <x v="12"/>
    <s v="Хова"/>
    <s v="02"/>
    <n v="13"/>
  </r>
  <r>
    <d v="2026-07-12T00:00:00"/>
    <x v="7"/>
    <s v="Шахман"/>
    <s v="04"/>
    <n v="12"/>
  </r>
  <r>
    <d v="2026-07-12T00:00:00"/>
    <x v="9"/>
    <s v="Шахман"/>
    <s v="04"/>
    <n v="13"/>
  </r>
  <r>
    <d v="2026-07-12T00:00:00"/>
    <x v="3"/>
    <s v="Хова"/>
    <s v="04"/>
    <n v="13"/>
  </r>
  <r>
    <d v="2026-07-12T00:00:00"/>
    <x v="13"/>
    <s v="Шахман"/>
    <s v="04"/>
    <n v="12"/>
  </r>
  <r>
    <d v="2026-07-12T00:00:00"/>
    <x v="46"/>
    <s v="FAW"/>
    <s v="04"/>
    <n v="3"/>
  </r>
  <r>
    <d v="2026-07-12T00:00:00"/>
    <x v="27"/>
    <s v="Камаз"/>
    <s v="04"/>
    <n v="11"/>
  </r>
  <r>
    <d v="2026-07-12T00:00:00"/>
    <x v="22"/>
    <s v="Шахман"/>
    <s v="04"/>
    <n v="10"/>
  </r>
  <r>
    <d v="2026-07-12T00:00:00"/>
    <x v="5"/>
    <s v="FAW"/>
    <s v="04"/>
    <n v="9"/>
  </r>
  <r>
    <d v="2026-07-12T00:00:00"/>
    <x v="18"/>
    <s v="Шахман"/>
    <s v="04"/>
    <n v="5"/>
  </r>
  <r>
    <d v="2026-07-12T00:00:00"/>
    <x v="21"/>
    <s v="Шахман"/>
    <s v="04"/>
    <n v="9"/>
  </r>
  <r>
    <d v="2026-07-12T00:00:00"/>
    <x v="17"/>
    <s v="Шахман"/>
    <s v="04"/>
    <n v="6"/>
  </r>
  <r>
    <d v="2026-07-11T00:00:00"/>
    <x v="16"/>
    <s v="Шахман"/>
    <s v="04"/>
    <n v="13"/>
  </r>
  <r>
    <d v="2026-07-11T00:00:00"/>
    <x v="0"/>
    <s v="Хова"/>
    <s v="02"/>
    <n v="12"/>
  </r>
  <r>
    <d v="2026-07-11T00:00:00"/>
    <x v="10"/>
    <s v="Шахман"/>
    <s v="04"/>
    <n v="10"/>
  </r>
  <r>
    <d v="2026-07-11T00:00:00"/>
    <x v="15"/>
    <s v="Хова"/>
    <s v="04"/>
    <n v="12"/>
  </r>
  <r>
    <d v="2026-07-11T00:00:00"/>
    <x v="9"/>
    <s v="Шахман"/>
    <s v="04"/>
    <n v="13"/>
  </r>
  <r>
    <d v="2026-07-11T00:00:00"/>
    <x v="13"/>
    <s v="Шахман"/>
    <s v="04"/>
    <n v="13"/>
  </r>
  <r>
    <d v="2026-07-11T00:00:00"/>
    <x v="21"/>
    <s v="Шахман"/>
    <s v="04"/>
    <n v="11"/>
  </r>
  <r>
    <d v="2026-07-11T00:00:00"/>
    <x v="20"/>
    <s v="Шахман"/>
    <s v="04"/>
    <n v="12"/>
  </r>
  <r>
    <d v="2026-07-11T00:00:00"/>
    <x v="1"/>
    <s v="Хова"/>
    <s v="02"/>
    <n v="12"/>
  </r>
  <r>
    <d v="2026-07-11T00:00:00"/>
    <x v="6"/>
    <s v="Шахман"/>
    <s v="04"/>
    <n v="12"/>
  </r>
  <r>
    <d v="2026-07-11T00:00:00"/>
    <x v="17"/>
    <s v="Шахман"/>
    <s v="04"/>
    <n v="8"/>
  </r>
  <r>
    <d v="2026-07-11T00:00:00"/>
    <x v="18"/>
    <s v="Шахман"/>
    <s v="04"/>
    <n v="10"/>
  </r>
  <r>
    <d v="2026-07-11T00:00:00"/>
    <x v="23"/>
    <s v="Шахман"/>
    <s v="04"/>
    <n v="12"/>
  </r>
  <r>
    <d v="2026-07-11T00:00:00"/>
    <x v="5"/>
    <s v="FAW"/>
    <s v="04"/>
    <n v="12"/>
  </r>
  <r>
    <d v="2026-07-11T00:00:00"/>
    <x v="24"/>
    <s v="Шахман"/>
    <s v="04"/>
    <n v="9"/>
  </r>
  <r>
    <d v="2026-07-11T00:00:00"/>
    <x v="12"/>
    <s v="Хова"/>
    <m/>
    <n v="12"/>
  </r>
  <r>
    <d v="2026-07-15T00:00:00"/>
    <x v="24"/>
    <s v="Шахман"/>
    <m/>
    <n v="3"/>
  </r>
  <r>
    <d v="2026-07-15T00:00:00"/>
    <x v="26"/>
    <s v="Шахман"/>
    <m/>
    <n v="1"/>
  </r>
  <r>
    <d v="2026-07-15T00:00:00"/>
    <x v="33"/>
    <s v="Шахман"/>
    <m/>
    <n v="5"/>
  </r>
  <r>
    <d v="2026-07-15T00:00:00"/>
    <x v="30"/>
    <s v="Хова"/>
    <m/>
    <n v="10"/>
  </r>
  <r>
    <d v="2026-07-15T00:00:00"/>
    <x v="0"/>
    <m/>
    <m/>
    <n v="14"/>
  </r>
  <r>
    <d v="2026-07-15T00:00:00"/>
    <x v="34"/>
    <m/>
    <m/>
    <n v="17"/>
  </r>
  <r>
    <d v="2026-07-15T00:00:00"/>
    <x v="43"/>
    <m/>
    <m/>
    <n v="12"/>
  </r>
  <r>
    <d v="2026-07-15T00:00:00"/>
    <x v="16"/>
    <m/>
    <m/>
    <n v="12"/>
  </r>
  <r>
    <d v="2026-07-15T00:00:00"/>
    <x v="7"/>
    <m/>
    <m/>
    <n v="14"/>
  </r>
  <r>
    <d v="2026-07-15T00:00:00"/>
    <x v="25"/>
    <m/>
    <m/>
    <n v="14"/>
  </r>
  <r>
    <d v="2026-07-15T00:00:00"/>
    <x v="1"/>
    <m/>
    <m/>
    <n v="12"/>
  </r>
  <r>
    <d v="2026-07-15T00:00:00"/>
    <x v="27"/>
    <m/>
    <m/>
    <n v="11"/>
  </r>
  <r>
    <d v="2026-07-15T00:00:00"/>
    <x v="0"/>
    <m/>
    <m/>
    <n v="13"/>
  </r>
  <r>
    <d v="2026-07-15T00:00:00"/>
    <x v="22"/>
    <m/>
    <m/>
    <n v="15"/>
  </r>
  <r>
    <d v="2026-07-15T00:00:00"/>
    <x v="23"/>
    <m/>
    <m/>
    <n v="15"/>
  </r>
  <r>
    <d v="2026-07-15T00:00:00"/>
    <x v="47"/>
    <m/>
    <m/>
    <n v="14"/>
  </r>
  <r>
    <d v="2026-07-15T00:00:00"/>
    <x v="20"/>
    <m/>
    <m/>
    <n v="5"/>
  </r>
  <r>
    <d v="2026-07-15T00:00:00"/>
    <x v="11"/>
    <m/>
    <m/>
    <n v="12"/>
  </r>
  <r>
    <d v="2026-07-15T00:00:00"/>
    <x v="8"/>
    <m/>
    <m/>
    <n v="14"/>
  </r>
  <r>
    <d v="2026-07-15T00:00:00"/>
    <x v="10"/>
    <m/>
    <m/>
    <n v="13"/>
  </r>
  <r>
    <d v="2026-07-15T00:00:00"/>
    <x v="2"/>
    <m/>
    <m/>
    <n v="12"/>
  </r>
  <r>
    <d v="2026-07-15T00:00:00"/>
    <x v="36"/>
    <m/>
    <m/>
    <n v="13"/>
  </r>
  <r>
    <d v="2026-07-15T00:00:00"/>
    <x v="9"/>
    <m/>
    <m/>
    <n v="13"/>
  </r>
  <r>
    <d v="2026-07-15T00:00:00"/>
    <x v="16"/>
    <m/>
    <m/>
    <n v="12"/>
  </r>
  <r>
    <d v="2026-07-15T00:00:00"/>
    <x v="34"/>
    <m/>
    <m/>
    <n v="1"/>
  </r>
  <r>
    <d v="2026-07-15T00:00:00"/>
    <x v="13"/>
    <m/>
    <m/>
    <n v="12"/>
  </r>
  <r>
    <d v="2026-07-15T00:00:00"/>
    <x v="6"/>
    <m/>
    <m/>
    <n v="15"/>
  </r>
  <r>
    <d v="2026-07-15T00:00:00"/>
    <x v="7"/>
    <m/>
    <m/>
    <n v="12"/>
  </r>
  <r>
    <d v="2026-07-15T00:00:00"/>
    <x v="3"/>
    <m/>
    <m/>
    <n v="12"/>
  </r>
  <r>
    <d v="2026-07-15T00:00:00"/>
    <x v="18"/>
    <m/>
    <m/>
    <n v="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d v="2026-07-02T00:00:00"/>
    <x v="0"/>
    <s v="A-H"/>
    <x v="0"/>
    <n v="260"/>
  </r>
  <r>
    <d v="2026-07-02T00:00:00"/>
    <x v="1"/>
    <s v="A-H"/>
    <x v="1"/>
    <n v="272.49"/>
  </r>
  <r>
    <d v="2026-07-02T00:00:00"/>
    <x v="2"/>
    <s v="A-SH"/>
    <x v="2"/>
    <n v="300"/>
  </r>
  <r>
    <d v="2026-07-02T00:00:00"/>
    <x v="3"/>
    <s v="A-SH"/>
    <x v="3"/>
    <n v="260.64999999999998"/>
  </r>
  <r>
    <d v="2026-07-02T00:00:00"/>
    <x v="4"/>
    <s v="A-SH"/>
    <x v="4"/>
    <n v="279.73"/>
  </r>
  <r>
    <d v="2026-07-02T00:00:00"/>
    <x v="5"/>
    <s v="A-H"/>
    <x v="5"/>
    <n v="230.4"/>
  </r>
  <r>
    <d v="2026-07-02T00:00:00"/>
    <x v="6"/>
    <s v="A-SH"/>
    <x v="6"/>
    <n v="300"/>
  </r>
  <r>
    <d v="2026-07-02T00:00:00"/>
    <x v="7"/>
    <s v="A-H"/>
    <x v="7"/>
    <n v="161.91999999999999"/>
  </r>
  <r>
    <d v="2026-07-02T00:00:00"/>
    <x v="8"/>
    <s v="A-SH"/>
    <x v="8"/>
    <n v="300"/>
  </r>
  <r>
    <d v="2026-07-02T00:00:00"/>
    <x v="9"/>
    <s v="A-F"/>
    <x v="9"/>
    <n v="155.05000000000001"/>
  </r>
  <r>
    <d v="2026-07-04T00:00:00"/>
    <x v="10"/>
    <s v="A-H"/>
    <x v="10"/>
    <n v="200"/>
  </r>
  <r>
    <d v="2026-07-04T00:00:00"/>
    <x v="1"/>
    <s v="A-H"/>
    <x v="1"/>
    <n v="110.13"/>
  </r>
  <r>
    <d v="2026-07-04T00:00:00"/>
    <x v="11"/>
    <s v="A-H"/>
    <x v="11"/>
    <n v="180"/>
  </r>
  <r>
    <d v="2026-07-04T00:00:00"/>
    <x v="0"/>
    <s v="A-H"/>
    <x v="0"/>
    <n v="220"/>
  </r>
  <r>
    <d v="2026-07-04T00:00:00"/>
    <x v="12"/>
    <s v="A-H"/>
    <x v="12"/>
    <n v="135.86000000000001"/>
  </r>
  <r>
    <d v="2026-07-04T00:00:00"/>
    <x v="7"/>
    <s v="A-H"/>
    <x v="7"/>
    <n v="105.58"/>
  </r>
  <r>
    <d v="2026-07-04T00:00:00"/>
    <x v="6"/>
    <s v="A-SH"/>
    <x v="6"/>
    <n v="197.05"/>
  </r>
  <r>
    <d v="2026-07-04T00:00:00"/>
    <x v="13"/>
    <s v="A-SH"/>
    <x v="13"/>
    <n v="250"/>
  </r>
  <r>
    <d v="2026-07-04T00:00:00"/>
    <x v="14"/>
    <s v="A-SH"/>
    <x v="14"/>
    <n v="249.75"/>
  </r>
  <r>
    <d v="2026-07-04T00:00:00"/>
    <x v="15"/>
    <s v="A-H"/>
    <x v="15"/>
    <n v="180"/>
  </r>
  <r>
    <d v="2026-07-04T00:00:00"/>
    <x v="16"/>
    <s v="A-SH"/>
    <x v="16"/>
    <n v="250"/>
  </r>
  <r>
    <d v="2026-07-06T00:00:00"/>
    <x v="17"/>
    <s v="A-SH"/>
    <x v="17"/>
    <n v="280.02999999999997"/>
  </r>
  <r>
    <d v="2026-07-06T00:00:00"/>
    <x v="4"/>
    <s v="A-SH"/>
    <x v="4"/>
    <n v="240"/>
  </r>
  <r>
    <d v="2026-07-06T00:00:00"/>
    <x v="12"/>
    <s v="A-H"/>
    <x v="12"/>
    <n v="116.28"/>
  </r>
  <r>
    <d v="2026-07-06T00:00:00"/>
    <x v="7"/>
    <s v="A-H"/>
    <x v="7"/>
    <n v="105.93"/>
  </r>
  <r>
    <d v="2026-07-06T00:00:00"/>
    <x v="2"/>
    <s v="A-SH"/>
    <x v="2"/>
    <n v="220"/>
  </r>
  <r>
    <d v="2026-07-06T00:00:00"/>
    <x v="8"/>
    <s v="A-SH"/>
    <x v="8"/>
    <n v="200"/>
  </r>
  <r>
    <d v="2026-07-08T00:00:00"/>
    <x v="18"/>
    <s v="A-SH"/>
    <x v="18"/>
    <n v="300"/>
  </r>
  <r>
    <d v="2026-07-08T00:00:00"/>
    <x v="17"/>
    <s v="A-SH"/>
    <x v="17"/>
    <n v="240.05"/>
  </r>
  <r>
    <d v="2026-07-08T00:00:00"/>
    <x v="6"/>
    <s v="A-SH"/>
    <x v="6"/>
    <n v="296.17"/>
  </r>
  <r>
    <d v="2026-07-08T00:00:00"/>
    <x v="19"/>
    <s v="A-SH"/>
    <x v="19"/>
    <n v="288"/>
  </r>
  <r>
    <d v="2026-07-08T00:00:00"/>
    <x v="20"/>
    <s v="A-SH"/>
    <x v="20"/>
    <n v="350"/>
  </r>
  <r>
    <d v="2026-07-08T00:00:00"/>
    <x v="21"/>
    <s v="A-SH"/>
    <x v="21"/>
    <n v="217.34"/>
  </r>
  <r>
    <d v="2026-07-08T00:00:00"/>
    <x v="22"/>
    <s v="A-SH"/>
    <x v="22"/>
    <n v="310.02"/>
  </r>
  <r>
    <d v="2026-07-08T00:00:00"/>
    <x v="23"/>
    <s v="A-SH"/>
    <x v="23"/>
    <n v="200"/>
  </r>
  <r>
    <d v="2026-07-08T00:00:00"/>
    <x v="24"/>
    <s v="A-H"/>
    <x v="24"/>
    <n v="356"/>
  </r>
  <r>
    <d v="2026-07-08T00:00:00"/>
    <x v="25"/>
    <s v="A-H"/>
    <x v="0"/>
    <n v="227"/>
  </r>
  <r>
    <d v="2026-07-08T00:00:00"/>
    <x v="3"/>
    <s v="A-SH"/>
    <x v="3"/>
    <n v="312.02999999999997"/>
  </r>
  <r>
    <d v="2026-07-08T00:00:00"/>
    <x v="26"/>
    <s v="A-H"/>
    <x v="25"/>
    <n v="243.75"/>
  </r>
  <r>
    <d v="2026-07-08T00:00:00"/>
    <x v="14"/>
    <s v="A-SH"/>
    <x v="14"/>
    <n v="197"/>
  </r>
  <r>
    <d v="2026-07-08T00:00:00"/>
    <x v="1"/>
    <s v="A-H"/>
    <x v="1"/>
    <n v="179.49"/>
  </r>
  <r>
    <d v="2026-07-08T00:00:00"/>
    <x v="27"/>
    <s v="A-SH"/>
    <x v="26"/>
    <n v="310.02999999999997"/>
  </r>
  <r>
    <d v="2026-07-08T00:00:00"/>
    <x v="28"/>
    <s v="A-SH"/>
    <x v="27"/>
    <n v="350"/>
  </r>
  <r>
    <d v="2026-07-08T00:00:00"/>
    <x v="29"/>
    <s v="A-SH"/>
    <x v="28"/>
    <n v="339.48"/>
  </r>
  <r>
    <d v="2026-07-09T00:00:00"/>
    <x v="30"/>
    <s v="A-SH"/>
    <x v="29"/>
    <n v="293"/>
  </r>
  <r>
    <d v="2026-07-09T00:00:00"/>
    <x v="31"/>
    <s v="A-SH"/>
    <x v="2"/>
    <n v="252.22"/>
  </r>
  <r>
    <d v="2026-07-09T00:00:00"/>
    <x v="12"/>
    <s v="A-H"/>
    <x v="12"/>
    <n v="159.51"/>
  </r>
  <r>
    <d v="2026-07-09T00:00:00"/>
    <x v="8"/>
    <s v="A-SH"/>
    <x v="8"/>
    <n v="307.2"/>
  </r>
  <r>
    <d v="2026-07-09T00:00:00"/>
    <x v="24"/>
    <s v="A-H"/>
    <x v="24"/>
    <n v="170"/>
  </r>
  <r>
    <d v="2026-07-09T00:00:00"/>
    <x v="5"/>
    <s v="A-H"/>
    <x v="7"/>
    <n v="155.91"/>
  </r>
  <r>
    <d v="2026-07-09T00:00:00"/>
    <x v="11"/>
    <s v="A-H"/>
    <x v="11"/>
    <n v="300"/>
  </r>
  <r>
    <d v="2026-07-09T00:00:00"/>
    <x v="10"/>
    <s v="A-H"/>
    <x v="10"/>
    <n v="260"/>
  </r>
  <r>
    <d v="2026-07-09T00:00:00"/>
    <x v="9"/>
    <s v="A-F"/>
    <x v="9"/>
    <n v="270"/>
  </r>
  <r>
    <d v="2026-07-11T00:00:00"/>
    <x v="32"/>
    <m/>
    <x v="30"/>
    <n v="180.02"/>
  </r>
  <r>
    <d v="2026-07-11T00:00:00"/>
    <x v="33"/>
    <m/>
    <x v="31"/>
    <n v="300"/>
  </r>
  <r>
    <d v="2026-07-11T00:00:00"/>
    <x v="5"/>
    <s v="A-H"/>
    <x v="7"/>
    <n v="342.24"/>
  </r>
  <r>
    <d v="2026-07-11T00:00:00"/>
    <x v="34"/>
    <m/>
    <x v="32"/>
    <n v="150"/>
  </r>
  <r>
    <d v="2026-07-11T00:00:00"/>
    <x v="29"/>
    <s v="A-SH"/>
    <x v="28"/>
    <n v="320"/>
  </r>
  <r>
    <d v="2026-07-11T00:00:00"/>
    <x v="35"/>
    <s v="A-SH"/>
    <x v="23"/>
    <n v="310"/>
  </r>
  <r>
    <d v="2026-07-11T00:00:00"/>
    <x v="25"/>
    <s v="A-H"/>
    <x v="0"/>
    <n v="269"/>
  </r>
  <r>
    <d v="2026-07-11T00:00:00"/>
    <x v="36"/>
    <m/>
    <x v="33"/>
    <n v="350"/>
  </r>
  <r>
    <d v="2026-07-11T00:00:00"/>
    <x v="28"/>
    <s v="A-SH"/>
    <x v="27"/>
    <n v="300"/>
  </r>
  <r>
    <d v="2026-07-11T00:00:00"/>
    <x v="37"/>
    <m/>
    <x v="34"/>
    <n v="283"/>
  </r>
  <r>
    <d v="2026-07-11T00:00:00"/>
    <x v="37"/>
    <m/>
    <x v="35"/>
    <n v="345"/>
  </r>
  <r>
    <d v="2026-07-11T00:00:00"/>
    <x v="4"/>
    <s v="A-SH"/>
    <x v="4"/>
    <n v="250"/>
  </r>
  <r>
    <d v="2026-07-11T00:00:00"/>
    <x v="16"/>
    <s v="A-SH"/>
    <x v="16"/>
    <n v="300"/>
  </r>
  <r>
    <d v="2026-07-11T00:00:00"/>
    <x v="37"/>
    <m/>
    <x v="36"/>
    <n v="300"/>
  </r>
  <r>
    <d v="2026-07-11T00:00:00"/>
    <x v="6"/>
    <s v="A-SH"/>
    <x v="6"/>
    <n v="158.55000000000001"/>
  </r>
  <r>
    <d v="2026-07-11T00:00:00"/>
    <x v="21"/>
    <s v="A-SH"/>
    <x v="21"/>
    <n v="131.01"/>
  </r>
  <r>
    <d v="2026-07-11T00:00:00"/>
    <x v="9"/>
    <s v="A-F"/>
    <x v="9"/>
    <n v="130"/>
  </r>
  <r>
    <d v="2026-07-12T00:00:00"/>
    <x v="5"/>
    <s v="A-H"/>
    <x v="7"/>
    <n v="145.08000000000001"/>
  </r>
  <r>
    <d v="2026-07-12T00:00:00"/>
    <x v="32"/>
    <m/>
    <x v="30"/>
    <n v="170"/>
  </r>
  <r>
    <d v="2026-07-12T00:00:00"/>
    <x v="38"/>
    <s v="A-SH"/>
    <x v="26"/>
    <n v="277"/>
  </r>
  <r>
    <d v="2026-07-12T00:00:00"/>
    <x v="39"/>
    <m/>
    <x v="37"/>
    <n v="300"/>
  </r>
  <r>
    <d v="2026-07-12T00:00:00"/>
    <x v="8"/>
    <s v="A-SH"/>
    <x v="8"/>
    <n v="290.8"/>
  </r>
  <r>
    <d v="2026-07-12T00:00:00"/>
    <x v="35"/>
    <s v="A-SH"/>
    <x v="23"/>
    <n v="160"/>
  </r>
  <r>
    <d v="2026-07-12T00:00:00"/>
    <x v="28"/>
    <s v="A-SH"/>
    <x v="27"/>
    <n v="120"/>
  </r>
  <r>
    <d v="2026-07-12T00:00:00"/>
    <x v="40"/>
    <m/>
    <x v="38"/>
    <n v="200.2"/>
  </r>
  <r>
    <d v="2026-07-12T00:00:00"/>
    <x v="11"/>
    <s v="A-H"/>
    <x v="11"/>
    <n v="146"/>
  </r>
  <r>
    <d v="2026-07-12T00:00:00"/>
    <x v="22"/>
    <s v="A-SH"/>
    <x v="22"/>
    <n v="237.01"/>
  </r>
  <r>
    <d v="2026-07-12T00:00:00"/>
    <x v="41"/>
    <m/>
    <x v="39"/>
    <n v="354.13"/>
  </r>
  <r>
    <d v="2026-07-12T00:00:00"/>
    <x v="18"/>
    <s v="A-SH"/>
    <x v="18"/>
    <n v="320"/>
  </r>
  <r>
    <d v="2026-07-12T00:00:00"/>
    <x v="34"/>
    <m/>
    <x v="32"/>
    <n v="150"/>
  </r>
  <r>
    <d v="2026-07-12T00:00:00"/>
    <x v="30"/>
    <s v="A-SH"/>
    <x v="29"/>
    <n v="300"/>
  </r>
  <r>
    <d v="2026-07-12T00:00:00"/>
    <x v="33"/>
    <m/>
    <x v="31"/>
    <n v="150"/>
  </r>
  <r>
    <d v="2026-07-12T00:00:00"/>
    <x v="14"/>
    <s v="A-SH"/>
    <x v="14"/>
    <n v="187.02"/>
  </r>
  <r>
    <d v="2026-07-12T00:00:00"/>
    <x v="42"/>
    <s v="A-H"/>
    <x v="0"/>
    <n v="84"/>
  </r>
  <r>
    <d v="2026-07-12T00:00:00"/>
    <x v="43"/>
    <m/>
    <x v="40"/>
    <n v="310"/>
  </r>
  <r>
    <d v="2026-07-12T00:00:00"/>
    <x v="44"/>
    <m/>
    <x v="41"/>
    <n v="333.01"/>
  </r>
  <r>
    <d v="2026-07-12T00:00:00"/>
    <x v="45"/>
    <s v="Фаф"/>
    <x v="42"/>
    <n v="285.91000000000003"/>
  </r>
  <r>
    <d v="2026-07-12T00:00:00"/>
    <x v="46"/>
    <m/>
    <x v="43"/>
    <n v="350"/>
  </r>
  <r>
    <d v="2026-07-12T00:00:00"/>
    <x v="47"/>
    <m/>
    <x v="44"/>
    <n v="280"/>
  </r>
  <r>
    <d v="2026-07-12T00:00:00"/>
    <x v="21"/>
    <s v="A-SH"/>
    <x v="21"/>
    <n v="111.69"/>
  </r>
  <r>
    <d v="2026-07-12T00:00:00"/>
    <x v="48"/>
    <m/>
    <x v="45"/>
    <n v="200"/>
  </r>
  <r>
    <d v="2026-07-12T00:00:00"/>
    <x v="49"/>
    <m/>
    <x v="46"/>
    <n v="305.68"/>
  </r>
  <r>
    <d v="2026-07-13T00:00:00"/>
    <x v="50"/>
    <m/>
    <x v="47"/>
    <n v="200"/>
  </r>
  <r>
    <d v="2026-07-13T00:00:00"/>
    <x v="36"/>
    <m/>
    <x v="33"/>
    <n v="311.01"/>
  </r>
  <r>
    <d v="2026-07-13T00:00:00"/>
    <x v="26"/>
    <s v="A-H"/>
    <x v="25"/>
    <n v="316.88"/>
  </r>
  <r>
    <d v="2026-07-13T00:00:00"/>
    <x v="34"/>
    <m/>
    <x v="32"/>
    <n v="150"/>
  </r>
  <r>
    <d v="2026-07-13T00:00:00"/>
    <x v="28"/>
    <s v="A-SH"/>
    <x v="27"/>
    <n v="285.01"/>
  </r>
  <r>
    <d v="2026-07-13T00:00:00"/>
    <x v="25"/>
    <s v="A-H"/>
    <x v="0"/>
    <n v="244"/>
  </r>
  <r>
    <d v="2026-07-13T00:00:00"/>
    <x v="6"/>
    <s v="A-SH"/>
    <x v="6"/>
    <n v="96.69"/>
  </r>
  <r>
    <d v="2026-07-13T00:00:00"/>
    <x v="5"/>
    <s v="A-H"/>
    <x v="7"/>
    <n v="127.03"/>
  </r>
  <r>
    <d v="2026-07-13T00:00:00"/>
    <x v="2"/>
    <s v="A-SH"/>
    <x v="2"/>
    <n v="210.02"/>
  </r>
  <r>
    <d v="2026-07-13T00:00:00"/>
    <x v="35"/>
    <s v="A-SH"/>
    <x v="23"/>
    <n v="260"/>
  </r>
  <r>
    <d v="2026-07-13T00:00:00"/>
    <x v="51"/>
    <m/>
    <x v="48"/>
    <n v="350"/>
  </r>
  <r>
    <d v="2026-07-13T00:00:00"/>
    <x v="19"/>
    <s v="A-SH"/>
    <x v="19"/>
    <n v="260"/>
  </r>
  <r>
    <d v="2026-07-13T00:00:00"/>
    <x v="46"/>
    <m/>
    <x v="49"/>
    <n v="265.41000000000003"/>
  </r>
  <r>
    <d v="2026-07-13T00:00:00"/>
    <x v="47"/>
    <m/>
    <x v="44"/>
    <n v="165"/>
  </r>
  <r>
    <d v="2026-07-13T00:00:00"/>
    <x v="43"/>
    <m/>
    <x v="40"/>
    <n v="140.01"/>
  </r>
  <r>
    <d v="2026-07-13T00:00:00"/>
    <x v="49"/>
    <m/>
    <x v="46"/>
    <n v="160.81"/>
  </r>
  <r>
    <d v="2026-07-13T00:00:00"/>
    <x v="44"/>
    <m/>
    <x v="41"/>
    <n v="150"/>
  </r>
  <r>
    <d v="2026-07-13T00:00:00"/>
    <x v="41"/>
    <m/>
    <x v="39"/>
    <n v="170.01"/>
  </r>
  <r>
    <d v="2026-07-13T00:00:00"/>
    <x v="8"/>
    <s v="A-SH"/>
    <x v="8"/>
    <n v="170"/>
  </r>
  <r>
    <d v="2026-07-13T00:00:00"/>
    <x v="21"/>
    <s v="A-SH"/>
    <x v="21"/>
    <n v="213.57"/>
  </r>
  <r>
    <d v="2026-07-13T00:00:00"/>
    <x v="37"/>
    <m/>
    <x v="17"/>
    <n v="307.33999999999997"/>
  </r>
  <r>
    <d v="2026-07-13T00:00:00"/>
    <x v="14"/>
    <s v="A-SH"/>
    <x v="14"/>
    <n v="160.03"/>
  </r>
  <r>
    <d v="2026-07-13T00:00:00"/>
    <x v="9"/>
    <s v="A-F"/>
    <x v="9"/>
    <n v="200.11"/>
  </r>
  <r>
    <d v="2026-07-14T00:00:00"/>
    <x v="29"/>
    <s v="A-SH"/>
    <x v="28"/>
    <n v="328.01"/>
  </r>
  <r>
    <d v="2026-07-14T00:00:00"/>
    <x v="38"/>
    <s v="A-SH"/>
    <x v="26"/>
    <n v="330.01"/>
  </r>
  <r>
    <d v="2026-07-14T00:00:00"/>
    <x v="4"/>
    <s v="A-SH"/>
    <x v="4"/>
    <n v="200"/>
  </r>
  <r>
    <d v="2026-07-14T00:00:00"/>
    <x v="3"/>
    <s v="A-SH"/>
    <x v="3"/>
    <n v="252.01"/>
  </r>
  <r>
    <d v="2026-07-14T00:00:00"/>
    <x v="33"/>
    <m/>
    <x v="31"/>
    <n v="200"/>
  </r>
  <r>
    <d v="2026-07-14T00:00:00"/>
    <x v="18"/>
    <s v="A-SH"/>
    <x v="18"/>
    <n v="240"/>
  </r>
  <r>
    <d v="2026-07-14T00:00:00"/>
    <x v="44"/>
    <m/>
    <x v="41"/>
    <n v="170"/>
  </r>
  <r>
    <d v="2026-07-14T00:00:00"/>
    <x v="47"/>
    <m/>
    <x v="44"/>
    <n v="170"/>
  </r>
  <r>
    <d v="2026-07-14T00:00:00"/>
    <x v="34"/>
    <m/>
    <x v="32"/>
    <n v="150"/>
  </r>
  <r>
    <d v="2026-07-14T00:00:00"/>
    <x v="30"/>
    <s v="A-SH"/>
    <x v="29"/>
    <n v="330"/>
  </r>
  <r>
    <d v="2026-07-14T00:00:00"/>
    <x v="35"/>
    <s v="A-SH"/>
    <x v="23"/>
    <n v="150"/>
  </r>
  <r>
    <d v="2026-07-14T00:00:00"/>
    <x v="28"/>
    <s v="A-SH"/>
    <x v="27"/>
    <n v="230.03"/>
  </r>
  <r>
    <d v="2026-07-14T00:00:00"/>
    <x v="9"/>
    <s v="A-F"/>
    <x v="9"/>
    <n v="130"/>
  </r>
  <r>
    <d v="2026-07-14T00:00:00"/>
    <x v="40"/>
    <m/>
    <x v="38"/>
    <n v="300"/>
  </r>
  <r>
    <d v="2026-07-14T00:00:00"/>
    <x v="14"/>
    <s v="A-SH"/>
    <x v="14"/>
    <n v="180"/>
  </r>
  <r>
    <d v="2026-07-14T00:00:00"/>
    <x v="42"/>
    <s v="A-H"/>
    <x v="0"/>
    <n v="248.01"/>
  </r>
  <r>
    <d v="2026-07-14T00:00:00"/>
    <x v="37"/>
    <m/>
    <x v="35"/>
    <n v="180.01"/>
  </r>
  <r>
    <d v="2026-07-14T00:00:00"/>
    <x v="37"/>
    <m/>
    <x v="34"/>
    <n v="121"/>
  </r>
  <r>
    <d v="2026-07-14T00:00:00"/>
    <x v="11"/>
    <s v="A-H"/>
    <x v="11"/>
    <n v="277.01"/>
  </r>
  <r>
    <d v="2026-07-14T00:00:00"/>
    <x v="10"/>
    <s v="A-H"/>
    <x v="10"/>
    <n v="230.05"/>
  </r>
  <r>
    <d v="2026-07-14T00:00:00"/>
    <x v="16"/>
    <s v="A-SH"/>
    <x v="16"/>
    <n v="250"/>
  </r>
  <r>
    <d v="2026-07-14T00:00:00"/>
    <x v="43"/>
    <m/>
    <x v="40"/>
    <n v="137.30000000000001"/>
  </r>
  <r>
    <d v="2026-07-14T00:00:00"/>
    <x v="49"/>
    <m/>
    <x v="46"/>
    <n v="170"/>
  </r>
  <r>
    <d v="2026-07-14T00:00:00"/>
    <x v="6"/>
    <s v="A-SH"/>
    <x v="6"/>
    <n v="200.03"/>
  </r>
  <r>
    <d v="2026-07-14T00:00:00"/>
    <x v="21"/>
    <s v="A-SH"/>
    <x v="21"/>
    <n v="193.55"/>
  </r>
  <r>
    <d v="2026-07-14T00:00:00"/>
    <x v="45"/>
    <s v="Фаф"/>
    <x v="42"/>
    <n v="207"/>
  </r>
  <r>
    <d v="2026-07-15T00:00:00"/>
    <x v="37"/>
    <m/>
    <x v="17"/>
    <n v="262.57"/>
  </r>
  <r>
    <d v="2026-07-15T00:00:00"/>
    <x v="19"/>
    <s v="A-SH"/>
    <x v="19"/>
    <n v="252.63"/>
  </r>
  <r>
    <d v="2026-07-15T00:00:00"/>
    <x v="25"/>
    <s v="A-H"/>
    <x v="0"/>
    <n v="230"/>
  </r>
  <r>
    <d v="2026-07-15T00:00:00"/>
    <x v="35"/>
    <s v="A-SH"/>
    <x v="23"/>
    <n v="210"/>
  </r>
  <r>
    <d v="2026-07-15T00:00:00"/>
    <x v="46"/>
    <m/>
    <x v="43"/>
    <n v="345.24"/>
  </r>
  <r>
    <d v="2026-07-15T00:00:00"/>
    <x v="41"/>
    <m/>
    <x v="39"/>
    <n v="270"/>
  </r>
  <r>
    <d v="2026-07-15T00:00:00"/>
    <x v="47"/>
    <m/>
    <x v="44"/>
    <n v="150"/>
  </r>
  <r>
    <d v="2026-07-15T00:00:00"/>
    <x v="36"/>
    <m/>
    <x v="33"/>
    <n v="335.02"/>
  </r>
  <r>
    <d v="2026-07-15T00:00:00"/>
    <x v="2"/>
    <s v="A-SH"/>
    <x v="2"/>
    <n v="210.13"/>
  </r>
  <r>
    <d v="2026-07-15T00:00:00"/>
    <x v="8"/>
    <s v="A-SH"/>
    <x v="8"/>
    <n v="300"/>
  </r>
  <r>
    <d v="2026-07-15T00:00:00"/>
    <x v="14"/>
    <s v="A-SH"/>
    <x v="14"/>
    <n v="220"/>
  </r>
  <r>
    <d v="2026-07-15T00:00:00"/>
    <x v="34"/>
    <m/>
    <x v="32"/>
    <n v="200"/>
  </r>
  <r>
    <d v="2026-07-15T00:00:00"/>
    <x v="40"/>
    <m/>
    <x v="38"/>
    <n v="159.99"/>
  </r>
  <r>
    <d v="2026-07-15T00:00:00"/>
    <x v="20"/>
    <s v="A-SH"/>
    <x v="20"/>
    <n v="338.02"/>
  </r>
  <r>
    <d v="2026-07-15T00:00:00"/>
    <x v="13"/>
    <s v="A-SH"/>
    <x v="13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F5CE2-D943-4D8F-8A9D-60DBA8EBF83D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V3:W12" firstHeaderRow="1" firstDataRow="1" firstDataCol="1"/>
  <pivotFields count="4">
    <pivotField dataField="1" showAll="0"/>
    <pivotField showAll="0"/>
    <pivotField showAll="0"/>
    <pivotField axis="axisRow" showAll="0">
      <items count="9">
        <item x="4"/>
        <item x="0"/>
        <item x="7"/>
        <item x="1"/>
        <item x="6"/>
        <item x="3"/>
        <item x="2"/>
        <item x="5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Количество по полю Гос номер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F48EF-3EE8-4280-AF8F-D0B64E6944B2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G3:H69" firstHeaderRow="2" firstDataRow="2" firstDataCol="1"/>
  <pivotFields count="5">
    <pivotField compact="0" outline="0" showAll="0"/>
    <pivotField dataField="1" compact="0" outline="0" showAll="0"/>
    <pivotField compact="0" outline="0" showAll="0" defaultSubtotal="0">
      <items count="14">
        <item x="6"/>
        <item x="7"/>
        <item x="5"/>
        <item x="8"/>
        <item x="4"/>
        <item x="0"/>
        <item x="2"/>
        <item x="9"/>
        <item x="1"/>
        <item x="3"/>
        <item m="1" x="12"/>
        <item x="10"/>
        <item m="1" x="13"/>
        <item x="11"/>
      </items>
    </pivotField>
    <pivotField axis="axisRow" compact="0" outline="0" showAll="0" defaultSubtotal="0">
      <items count="66">
        <item x="33"/>
        <item x="27"/>
        <item x="44"/>
        <item x="13"/>
        <item x="51"/>
        <item x="7"/>
        <item x="18"/>
        <item x="10"/>
        <item x="4"/>
        <item x="41"/>
        <item x="58"/>
        <item x="20"/>
        <item x="6"/>
        <item x="14"/>
        <item x="46"/>
        <item x="8"/>
        <item x="60"/>
        <item x="55"/>
        <item x="3"/>
        <item x="57"/>
        <item x="43"/>
        <item x="40"/>
        <item x="35"/>
        <item x="32"/>
        <item x="49"/>
        <item x="28"/>
        <item x="26"/>
        <item x="63"/>
        <item x="29"/>
        <item x="30"/>
        <item x="12"/>
        <item x="59"/>
        <item x="0"/>
        <item x="1"/>
        <item x="48"/>
        <item x="25"/>
        <item x="38"/>
        <item x="23"/>
        <item x="42"/>
        <item m="1" x="65"/>
        <item x="47"/>
        <item x="16"/>
        <item x="22"/>
        <item x="53"/>
        <item x="34"/>
        <item x="52"/>
        <item x="24"/>
        <item x="56"/>
        <item x="11"/>
        <item x="17"/>
        <item x="21"/>
        <item x="31"/>
        <item x="37"/>
        <item x="36"/>
        <item x="5"/>
        <item x="2"/>
        <item x="39"/>
        <item x="62"/>
        <item x="61"/>
        <item m="1" x="64"/>
        <item x="19"/>
        <item x="50"/>
        <item x="9"/>
        <item x="15"/>
        <item x="45"/>
        <item x="54"/>
      </items>
    </pivotField>
    <pivotField compact="0" outline="0" showAll="0" defaultSubtotal="0">
      <items count="54">
        <item x="26"/>
        <item x="8"/>
        <item x="36"/>
        <item x="37"/>
        <item x="16"/>
        <item x="5"/>
        <item x="27"/>
        <item x="32"/>
        <item x="23"/>
        <item x="9"/>
        <item x="30"/>
        <item x="17"/>
        <item x="10"/>
        <item m="1" x="46"/>
        <item m="1" x="47"/>
        <item x="6"/>
        <item x="7"/>
        <item m="1" x="51"/>
        <item x="15"/>
        <item x="12"/>
        <item m="1" x="52"/>
        <item x="39"/>
        <item x="20"/>
        <item x="0"/>
        <item m="1" x="44"/>
        <item m="1" x="45"/>
        <item x="14"/>
        <item x="3"/>
        <item m="1" x="53"/>
        <item x="11"/>
        <item x="22"/>
        <item x="4"/>
        <item x="40"/>
        <item m="1" x="43"/>
        <item x="42"/>
        <item m="1" x="50"/>
        <item x="41"/>
        <item m="1" x="48"/>
        <item m="1" x="49"/>
        <item x="1"/>
        <item x="35"/>
        <item x="24"/>
        <item x="2"/>
        <item x="13"/>
        <item x="21"/>
        <item x="25"/>
        <item x="38"/>
        <item x="34"/>
        <item x="33"/>
        <item x="28"/>
        <item x="18"/>
        <item x="31"/>
        <item x="19"/>
        <item x="29"/>
      </items>
    </pivotField>
  </pivotFields>
  <rowFields count="1">
    <field x="3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Сумма по полю Часы" fld="1" baseField="3" baseItem="0"/>
  </dataFields>
  <formats count="2">
    <format dxfId="79">
      <pivotArea dataOnly="0" labelOnly="1" outline="0" fieldPosition="0">
        <references count="1">
          <reference field="3" count="1">
            <x v="37"/>
          </reference>
        </references>
      </pivotArea>
    </format>
    <format dxfId="78">
      <pivotArea dataOnly="0" labelOnly="1" outline="0" fieldPosition="0">
        <references count="1">
          <reference field="3" count="1"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6563D-6FF8-4328-8525-8FE563F20D45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3:D71" firstHeaderRow="2" firstDataRow="2" firstDataCol="3"/>
  <pivotFields count="5">
    <pivotField compact="0" outline="0" showAll="0"/>
    <pivotField dataField="1" compact="0" outline="0" showAll="0"/>
    <pivotField axis="axisRow" compact="0" outline="0" showAll="0" defaultSubtotal="0">
      <items count="14">
        <item x="6"/>
        <item x="7"/>
        <item x="5"/>
        <item x="8"/>
        <item x="4"/>
        <item x="0"/>
        <item x="2"/>
        <item x="9"/>
        <item x="1"/>
        <item x="3"/>
        <item m="1" x="12"/>
        <item x="10"/>
        <item m="1" x="13"/>
        <item x="11"/>
      </items>
    </pivotField>
    <pivotField axis="axisRow" compact="0" outline="0" showAll="0" defaultSubtotal="0">
      <items count="66">
        <item x="33"/>
        <item x="27"/>
        <item x="44"/>
        <item x="13"/>
        <item x="51"/>
        <item x="7"/>
        <item x="18"/>
        <item x="10"/>
        <item x="4"/>
        <item x="41"/>
        <item x="58"/>
        <item x="20"/>
        <item x="6"/>
        <item x="14"/>
        <item x="46"/>
        <item x="8"/>
        <item x="60"/>
        <item x="55"/>
        <item x="3"/>
        <item x="57"/>
        <item x="43"/>
        <item x="40"/>
        <item x="35"/>
        <item x="32"/>
        <item x="49"/>
        <item x="28"/>
        <item x="26"/>
        <item x="63"/>
        <item x="29"/>
        <item x="30"/>
        <item x="12"/>
        <item x="59"/>
        <item x="0"/>
        <item x="1"/>
        <item x="48"/>
        <item x="25"/>
        <item x="38"/>
        <item x="23"/>
        <item x="42"/>
        <item m="1" x="65"/>
        <item x="47"/>
        <item x="16"/>
        <item x="22"/>
        <item x="53"/>
        <item x="34"/>
        <item x="52"/>
        <item x="24"/>
        <item x="56"/>
        <item x="11"/>
        <item x="17"/>
        <item x="21"/>
        <item x="31"/>
        <item x="37"/>
        <item x="36"/>
        <item x="5"/>
        <item x="2"/>
        <item x="39"/>
        <item x="62"/>
        <item x="61"/>
        <item m="1" x="64"/>
        <item x="19"/>
        <item x="50"/>
        <item x="9"/>
        <item x="15"/>
        <item x="45"/>
        <item x="54"/>
      </items>
    </pivotField>
    <pivotField axis="axisRow" compact="0" outline="0" showAll="0" defaultSubtotal="0">
      <items count="54">
        <item x="26"/>
        <item x="8"/>
        <item x="36"/>
        <item x="37"/>
        <item x="16"/>
        <item x="5"/>
        <item x="27"/>
        <item x="32"/>
        <item x="23"/>
        <item x="9"/>
        <item x="30"/>
        <item x="17"/>
        <item x="10"/>
        <item m="1" x="46"/>
        <item m="1" x="47"/>
        <item x="6"/>
        <item x="7"/>
        <item m="1" x="51"/>
        <item x="15"/>
        <item x="12"/>
        <item m="1" x="52"/>
        <item x="39"/>
        <item x="20"/>
        <item x="0"/>
        <item m="1" x="44"/>
        <item m="1" x="45"/>
        <item x="14"/>
        <item x="3"/>
        <item m="1" x="53"/>
        <item x="11"/>
        <item x="22"/>
        <item x="4"/>
        <item x="40"/>
        <item m="1" x="43"/>
        <item x="42"/>
        <item m="1" x="50"/>
        <item x="41"/>
        <item m="1" x="48"/>
        <item m="1" x="49"/>
        <item x="1"/>
        <item x="35"/>
        <item x="24"/>
        <item x="2"/>
        <item x="13"/>
        <item x="21"/>
        <item x="25"/>
        <item x="38"/>
        <item x="34"/>
        <item x="33"/>
        <item x="28"/>
        <item x="18"/>
        <item x="31"/>
        <item x="19"/>
        <item x="29"/>
      </items>
    </pivotField>
  </pivotFields>
  <rowFields count="3">
    <field x="3"/>
    <field x="4"/>
    <field x="2"/>
  </rowFields>
  <rowItems count="67">
    <i>
      <x/>
      <x v="45"/>
      <x v="2"/>
    </i>
    <i>
      <x v="1"/>
      <x v="44"/>
      <x v="4"/>
    </i>
    <i>
      <x v="2"/>
      <x v="43"/>
      <x v="6"/>
    </i>
    <i>
      <x v="3"/>
      <x v="29"/>
      <x v="9"/>
    </i>
    <i>
      <x v="4"/>
      <x v="43"/>
      <x v="4"/>
    </i>
    <i>
      <x v="5"/>
      <x v="16"/>
      <x v="9"/>
    </i>
    <i>
      <x v="6"/>
      <x v="18"/>
      <x v="4"/>
    </i>
    <i>
      <x v="7"/>
      <x v="1"/>
      <x v="9"/>
    </i>
    <i>
      <x v="8"/>
      <x v="31"/>
      <x v="6"/>
    </i>
    <i>
      <x v="9"/>
      <x v="10"/>
      <x v="2"/>
    </i>
    <i>
      <x v="10"/>
      <x v="43"/>
      <x v="4"/>
    </i>
    <i>
      <x v="11"/>
      <x v="4"/>
      <x/>
    </i>
    <i>
      <x v="12"/>
      <x v="15"/>
      <x v="8"/>
    </i>
    <i>
      <x v="13"/>
      <x v="19"/>
      <x v="4"/>
    </i>
    <i>
      <x v="14"/>
      <x v="43"/>
      <x v="2"/>
    </i>
    <i>
      <x v="15"/>
      <x v="16"/>
      <x v="9"/>
    </i>
    <i>
      <x v="16"/>
      <x v="43"/>
      <x v="4"/>
    </i>
    <i>
      <x v="17"/>
      <x v="46"/>
      <x v="13"/>
    </i>
    <i>
      <x v="18"/>
      <x v="27"/>
      <x v="8"/>
    </i>
    <i>
      <x v="19"/>
      <x v="36"/>
      <x v="6"/>
    </i>
    <i>
      <x v="20"/>
      <x v="7"/>
      <x v="11"/>
    </i>
    <i>
      <x v="21"/>
      <x v="1"/>
      <x v="9"/>
    </i>
    <i>
      <x v="22"/>
      <x v="1"/>
      <x v="9"/>
    </i>
    <i>
      <x v="23"/>
      <x v="41"/>
      <x v="3"/>
    </i>
    <i>
      <x v="24"/>
      <x v="47"/>
      <x v="7"/>
    </i>
    <i>
      <x v="25"/>
      <x v="43"/>
      <x v="2"/>
    </i>
    <i>
      <x v="26"/>
      <x v="43"/>
      <x v="2"/>
    </i>
    <i>
      <x v="27"/>
      <x v="1"/>
      <x v="13"/>
    </i>
    <i>
      <x v="28"/>
      <x v="30"/>
      <x v="1"/>
    </i>
    <i>
      <x v="29"/>
      <x v="8"/>
      <x v="4"/>
    </i>
    <i>
      <x v="30"/>
      <x v="12"/>
      <x v="9"/>
    </i>
    <i>
      <x v="31"/>
      <x v="43"/>
      <x v="4"/>
    </i>
    <i>
      <x v="32"/>
      <x v="23"/>
      <x v="5"/>
    </i>
    <i>
      <x v="33"/>
      <x v="39"/>
      <x v="5"/>
    </i>
    <i>
      <x v="34"/>
      <x v="48"/>
      <x v="11"/>
    </i>
    <i>
      <x v="35"/>
      <x v="22"/>
      <x v="4"/>
    </i>
    <i>
      <x v="36"/>
      <x v="49"/>
      <x v="4"/>
    </i>
    <i>
      <x v="37"/>
      <x v="21"/>
      <x v="4"/>
    </i>
    <i r="1">
      <x v="50"/>
      <x v="2"/>
    </i>
    <i>
      <x v="38"/>
      <x v="51"/>
      <x v="2"/>
    </i>
    <i>
      <x v="40"/>
      <x v="43"/>
      <x v="4"/>
    </i>
    <i>
      <x v="41"/>
      <x v="26"/>
      <x v="4"/>
    </i>
    <i>
      <x v="42"/>
      <x v="43"/>
      <x v="2"/>
    </i>
    <i>
      <x v="43"/>
      <x v="3"/>
      <x v="7"/>
    </i>
    <i>
      <x v="44"/>
      <x/>
      <x v="7"/>
    </i>
    <i>
      <x v="45"/>
      <x v="2"/>
      <x v="7"/>
    </i>
    <i>
      <x v="46"/>
      <x v="52"/>
      <x v="4"/>
    </i>
    <i>
      <x v="47"/>
      <x v="32"/>
      <x v="6"/>
    </i>
    <i>
      <x v="48"/>
      <x v="9"/>
      <x v="9"/>
    </i>
    <i>
      <x v="49"/>
      <x v="43"/>
      <x v="2"/>
    </i>
    <i>
      <x v="50"/>
      <x v="11"/>
      <x v="4"/>
    </i>
    <i>
      <x v="51"/>
      <x v="41"/>
      <x v="4"/>
    </i>
    <i>
      <x v="52"/>
      <x v="43"/>
      <x v="4"/>
    </i>
    <i>
      <x v="53"/>
      <x v="6"/>
      <x v="4"/>
    </i>
    <i>
      <x v="54"/>
      <x v="5"/>
      <x v="8"/>
    </i>
    <i>
      <x v="55"/>
      <x v="42"/>
      <x v="5"/>
    </i>
    <i>
      <x v="56"/>
      <x v="53"/>
      <x v="4"/>
    </i>
    <i>
      <x v="57"/>
      <x v="43"/>
      <x v="11"/>
    </i>
    <i>
      <x v="58"/>
      <x v="34"/>
      <x v="11"/>
    </i>
    <i>
      <x v="60"/>
      <x v="43"/>
      <x v="4"/>
    </i>
    <i>
      <x v="61"/>
      <x v="40"/>
      <x v="9"/>
    </i>
    <i>
      <x v="62"/>
      <x v="1"/>
      <x v="9"/>
    </i>
    <i>
      <x v="63"/>
      <x v="43"/>
      <x v="4"/>
    </i>
    <i>
      <x v="64"/>
      <x v="43"/>
      <x v="4"/>
    </i>
    <i>
      <x v="65"/>
      <x v="43"/>
      <x v="5"/>
    </i>
    <i r="2">
      <x v="6"/>
    </i>
    <i t="grand">
      <x/>
    </i>
  </rowItems>
  <colItems count="1">
    <i/>
  </colItems>
  <dataFields count="1">
    <dataField name="Сумма по полю Часы" fld="1" baseField="3" baseItem="0"/>
  </dataFields>
  <formats count="13">
    <format dxfId="92">
      <pivotArea outline="0" fieldPosition="0">
        <references count="3">
          <reference field="2" count="2" selected="0">
            <x v="2"/>
            <x v="4"/>
          </reference>
          <reference field="3" count="1" selected="0">
            <x v="37"/>
          </reference>
          <reference field="4" count="2" selected="0">
            <x v="21"/>
            <x v="50"/>
          </reference>
        </references>
      </pivotArea>
    </format>
    <format dxfId="91">
      <pivotArea dataOnly="0" labelOnly="1" outline="0" fieldPosition="0">
        <references count="2">
          <reference field="3" count="1" selected="0">
            <x v="37"/>
          </reference>
          <reference field="4" count="2">
            <x v="21"/>
            <x v="50"/>
          </reference>
        </references>
      </pivotArea>
    </format>
    <format dxfId="90">
      <pivotArea dataOnly="0" labelOnly="1" outline="0" fieldPosition="0">
        <references count="3">
          <reference field="2" count="1">
            <x v="4"/>
          </reference>
          <reference field="3" count="1" selected="0">
            <x v="37"/>
          </reference>
          <reference field="4" count="1" selected="0">
            <x v="21"/>
          </reference>
        </references>
      </pivotArea>
    </format>
    <format dxfId="89">
      <pivotArea dataOnly="0" labelOnly="1" outline="0" fieldPosition="0">
        <references count="3">
          <reference field="2" count="1">
            <x v="2"/>
          </reference>
          <reference field="3" count="1" selected="0">
            <x v="37"/>
          </reference>
          <reference field="4" count="1" selected="0">
            <x v="50"/>
          </reference>
        </references>
      </pivotArea>
    </format>
    <format dxfId="88">
      <pivotArea outline="0" fieldPosition="0">
        <references count="3">
          <reference field="2" count="2" selected="0">
            <x v="2"/>
            <x v="4"/>
          </reference>
          <reference field="3" count="1" selected="0">
            <x v="37"/>
          </reference>
          <reference field="4" count="2" selected="0">
            <x v="21"/>
            <x v="50"/>
          </reference>
        </references>
      </pivotArea>
    </format>
    <format dxfId="87">
      <pivotArea dataOnly="0" labelOnly="1" outline="0" fieldPosition="0">
        <references count="2">
          <reference field="3" count="1" selected="0">
            <x v="37"/>
          </reference>
          <reference field="4" count="2">
            <x v="21"/>
            <x v="50"/>
          </reference>
        </references>
      </pivotArea>
    </format>
    <format dxfId="86">
      <pivotArea dataOnly="0" labelOnly="1" outline="0" fieldPosition="0">
        <references count="3">
          <reference field="2" count="1">
            <x v="4"/>
          </reference>
          <reference field="3" count="1" selected="0">
            <x v="37"/>
          </reference>
          <reference field="4" count="1" selected="0">
            <x v="21"/>
          </reference>
        </references>
      </pivotArea>
    </format>
    <format dxfId="85">
      <pivotArea dataOnly="0" labelOnly="1" outline="0" fieldPosition="0">
        <references count="3">
          <reference field="2" count="1">
            <x v="2"/>
          </reference>
          <reference field="3" count="1" selected="0">
            <x v="37"/>
          </reference>
          <reference field="4" count="1" selected="0">
            <x v="50"/>
          </reference>
        </references>
      </pivotArea>
    </format>
    <format dxfId="84">
      <pivotArea dataOnly="0" labelOnly="1" outline="0" fieldPosition="0">
        <references count="1">
          <reference field="3" count="1">
            <x v="37"/>
          </reference>
        </references>
      </pivotArea>
    </format>
    <format dxfId="83">
      <pivotArea dataOnly="0" labelOnly="1" outline="0" fieldPosition="0">
        <references count="2">
          <reference field="3" count="1" selected="0">
            <x v="37"/>
          </reference>
          <reference field="4" count="2">
            <x v="21"/>
            <x v="50"/>
          </reference>
        </references>
      </pivotArea>
    </format>
    <format dxfId="82">
      <pivotArea dataOnly="0" labelOnly="1" outline="0" fieldPosition="0">
        <references count="3">
          <reference field="2" count="1">
            <x v="4"/>
          </reference>
          <reference field="3" count="1" selected="0">
            <x v="37"/>
          </reference>
          <reference field="4" count="1" selected="0">
            <x v="21"/>
          </reference>
        </references>
      </pivotArea>
    </format>
    <format dxfId="81">
      <pivotArea dataOnly="0" labelOnly="1" outline="0" fieldPosition="0">
        <references count="3">
          <reference field="2" count="1">
            <x v="2"/>
          </reference>
          <reference field="3" count="1" selected="0">
            <x v="37"/>
          </reference>
          <reference field="4" count="1" selected="0">
            <x v="50"/>
          </reference>
        </references>
      </pivotArea>
    </format>
    <format dxfId="80">
      <pivotArea dataOnly="0" labelOnly="1" outline="0" fieldPosition="0">
        <references count="1">
          <reference field="3" count="1"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B1D47-B7CA-45FC-8FF9-D4A285CB413B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39" firstHeaderRow="1" firstDataRow="1" firstDataCol="1"/>
  <pivotFields count="4">
    <pivotField numFmtId="14" showAll="0"/>
    <pivotField showAll="0"/>
    <pivotField axis="axisRow" showAll="0">
      <items count="47">
        <item m="1" x="35"/>
        <item m="1" x="44"/>
        <item m="1" x="42"/>
        <item m="1" x="43"/>
        <item m="1" x="41"/>
        <item m="1" x="40"/>
        <item m="1" x="36"/>
        <item m="1" x="45"/>
        <item m="1" x="39"/>
        <item m="1" x="38"/>
        <item m="1" x="37"/>
        <item x="9"/>
        <item x="4"/>
        <item x="7"/>
        <item x="1"/>
        <item x="33"/>
        <item x="13"/>
        <item x="6"/>
        <item x="26"/>
        <item x="28"/>
        <item x="12"/>
        <item x="10"/>
        <item x="20"/>
        <item x="30"/>
        <item x="25"/>
        <item x="5"/>
        <item x="8"/>
        <item x="16"/>
        <item x="32"/>
        <item x="24"/>
        <item x="14"/>
        <item x="23"/>
        <item x="27"/>
        <item x="22"/>
        <item x="19"/>
        <item x="11"/>
        <item x="0"/>
        <item x="17"/>
        <item x="21"/>
        <item x="15"/>
        <item x="31"/>
        <item x="2"/>
        <item x="34"/>
        <item x="18"/>
        <item x="3"/>
        <item x="29"/>
        <item t="default"/>
      </items>
    </pivotField>
    <pivotField dataField="1" showAll="0"/>
  </pivotFields>
  <rowFields count="1">
    <field x="2"/>
  </rowFields>
  <rowItems count="36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Сумма по полю Выдано" fld="3" baseField="0" baseItem="0"/>
  </dataFields>
  <formats count="4">
    <format dxfId="77">
      <pivotArea dataOnly="0" labelOnly="1" fieldPosition="0">
        <references count="1">
          <reference field="2" count="1">
            <x v="0"/>
          </reference>
        </references>
      </pivotArea>
    </format>
    <format dxfId="76">
      <pivotArea dataOnly="0" labelOnly="1" fieldPosition="0">
        <references count="1">
          <reference field="2" count="1">
            <x v="6"/>
          </reference>
        </references>
      </pivotArea>
    </format>
    <format dxfId="75">
      <pivotArea dataOnly="0" labelOnly="1" fieldPosition="0">
        <references count="1">
          <reference field="2" count="1">
            <x v="45"/>
          </reference>
        </references>
      </pivotArea>
    </format>
    <format dxfId="74">
      <pivotArea dataOnly="0" labelOnly="1" fieldPosition="0">
        <references count="1">
          <reference field="2" count="1">
            <x v="4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8190A-F734-4388-A318-3FFC0C53723E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E3:F55" firstHeaderRow="2" firstDataRow="2" firstDataCol="1"/>
  <pivotFields count="5">
    <pivotField compact="0" numFmtId="14" outline="0" showAll="0"/>
    <pivotField compact="0" outline="0" showAll="0" defaultSubtotal="0"/>
    <pivotField compact="0" outline="0" showAll="0"/>
    <pivotField axis="axisRow" compact="0" outline="0" showAll="0" defaultSubtotal="0">
      <items count="55">
        <item x="7"/>
        <item x="5"/>
        <item x="20"/>
        <item x="23"/>
        <item x="10"/>
        <item x="45"/>
        <item x="34"/>
        <item x="44"/>
        <item x="46"/>
        <item x="17"/>
        <item x="15"/>
        <item x="18"/>
        <item x="36"/>
        <item m="1" x="50"/>
        <item x="30"/>
        <item x="9"/>
        <item x="8"/>
        <item x="33"/>
        <item x="37"/>
        <item x="26"/>
        <item x="19"/>
        <item x="38"/>
        <item x="16"/>
        <item x="1"/>
        <item x="11"/>
        <item x="21"/>
        <item x="29"/>
        <item x="14"/>
        <item x="0"/>
        <item x="48"/>
        <item x="4"/>
        <item x="42"/>
        <item x="24"/>
        <item x="12"/>
        <item x="25"/>
        <item x="35"/>
        <item x="13"/>
        <item x="2"/>
        <item m="1" x="54"/>
        <item x="31"/>
        <item x="27"/>
        <item m="1" x="53"/>
        <item x="39"/>
        <item m="1" x="52"/>
        <item x="40"/>
        <item x="22"/>
        <item x="3"/>
        <item x="32"/>
        <item x="43"/>
        <item x="41"/>
        <item x="28"/>
        <item x="6"/>
        <item m="1" x="51"/>
        <item x="47"/>
        <item x="49"/>
      </items>
    </pivotField>
    <pivotField dataField="1" compact="0" outline="0"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 t="grand">
      <x/>
    </i>
  </rowItems>
  <colItems count="1">
    <i/>
  </colItems>
  <dataFields count="1">
    <dataField name="Сумма по полю Выдано" fld="4" baseField="0" baseItem="0" numFmtId="165"/>
  </dataFields>
  <formats count="5">
    <format dxfId="13">
      <pivotArea outline="0" collapsedLevelsAreSubtotals="1" fieldPosition="0"/>
    </format>
    <format dxfId="12">
      <pivotArea outline="0" fieldPosition="0">
        <references count="1">
          <reference field="3" count="49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2"/>
            <x v="44"/>
            <x v="45"/>
            <x v="46"/>
            <x v="47"/>
            <x v="48"/>
            <x v="49"/>
            <x v="50"/>
            <x v="51"/>
            <x v="53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outline="0" fieldPosition="0">
        <references count="1">
          <reference field="3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2"/>
            <x v="44"/>
            <x v="45"/>
            <x v="46"/>
            <x v="47"/>
            <x v="48"/>
            <x v="49"/>
            <x v="50"/>
            <x v="51"/>
            <x v="53"/>
          </reference>
        </references>
      </pivotArea>
    </format>
    <format dxfId="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1A017-DA34-4453-8FFB-D00D342045F7}" name="Сводная таблица4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3:C62" firstHeaderRow="2" firstDataRow="2" firstDataCol="2"/>
  <pivotFields count="5">
    <pivotField compact="0" numFmtId="14" outline="0" showAll="0"/>
    <pivotField axis="axisRow" compact="0" outline="0" showAll="0" defaultSubtotal="0">
      <items count="72">
        <item x="29"/>
        <item x="20"/>
        <item x="13"/>
        <item m="1" x="56"/>
        <item x="15"/>
        <item x="7"/>
        <item m="1" x="66"/>
        <item x="24"/>
        <item m="1" x="68"/>
        <item m="1" x="53"/>
        <item x="25"/>
        <item x="0"/>
        <item x="3"/>
        <item m="1" x="65"/>
        <item x="23"/>
        <item x="17"/>
        <item x="4"/>
        <item m="1" x="52"/>
        <item x="1"/>
        <item x="2"/>
        <item m="1" x="67"/>
        <item x="26"/>
        <item m="1" x="64"/>
        <item x="16"/>
        <item x="9"/>
        <item x="18"/>
        <item m="1" x="70"/>
        <item m="1" x="71"/>
        <item x="27"/>
        <item m="1" x="55"/>
        <item m="1" x="60"/>
        <item x="10"/>
        <item m="1" x="57"/>
        <item x="30"/>
        <item x="34"/>
        <item m="1" x="59"/>
        <item m="1" x="58"/>
        <item x="50"/>
        <item x="42"/>
        <item x="11"/>
        <item x="43"/>
        <item x="28"/>
        <item x="36"/>
        <item x="47"/>
        <item x="31"/>
        <item x="49"/>
        <item x="35"/>
        <item x="8"/>
        <item m="1" x="62"/>
        <item m="1" x="63"/>
        <item m="1" x="69"/>
        <item x="12"/>
        <item x="22"/>
        <item x="21"/>
        <item x="33"/>
        <item x="32"/>
        <item x="19"/>
        <item m="1" x="61"/>
        <item x="14"/>
        <item x="51"/>
        <item x="48"/>
        <item m="1" x="54"/>
        <item x="38"/>
        <item x="44"/>
        <item x="39"/>
        <item x="6"/>
        <item x="46"/>
        <item x="5"/>
        <item x="37"/>
        <item x="41"/>
        <item x="40"/>
        <item x="45"/>
      </items>
    </pivotField>
    <pivotField compact="0" outline="0" showAll="0"/>
    <pivotField axis="axisRow" compact="0" outline="0" showAll="0" defaultSubtotal="0">
      <items count="55">
        <item x="7"/>
        <item x="5"/>
        <item x="20"/>
        <item x="23"/>
        <item x="10"/>
        <item x="45"/>
        <item x="34"/>
        <item x="44"/>
        <item x="46"/>
        <item x="17"/>
        <item x="15"/>
        <item x="18"/>
        <item x="36"/>
        <item m="1" x="50"/>
        <item x="30"/>
        <item x="9"/>
        <item x="8"/>
        <item x="33"/>
        <item x="37"/>
        <item x="26"/>
        <item x="19"/>
        <item x="38"/>
        <item x="16"/>
        <item x="1"/>
        <item x="11"/>
        <item x="21"/>
        <item x="29"/>
        <item x="14"/>
        <item x="0"/>
        <item x="48"/>
        <item x="4"/>
        <item x="42"/>
        <item x="24"/>
        <item x="12"/>
        <item x="25"/>
        <item x="35"/>
        <item x="13"/>
        <item x="2"/>
        <item m="1" x="54"/>
        <item x="31"/>
        <item x="27"/>
        <item m="1" x="53"/>
        <item x="39"/>
        <item m="1" x="52"/>
        <item x="40"/>
        <item x="22"/>
        <item x="3"/>
        <item x="32"/>
        <item x="43"/>
        <item x="41"/>
        <item x="28"/>
        <item x="6"/>
        <item m="1" x="51"/>
        <item x="47"/>
        <item x="49"/>
      </items>
    </pivotField>
    <pivotField dataField="1" compact="0" outline="0" showAll="0"/>
  </pivotFields>
  <rowFields count="2">
    <field x="3"/>
    <field x="1"/>
  </rowFields>
  <rowItems count="58">
    <i>
      <x/>
      <x v="5"/>
    </i>
    <i r="1">
      <x v="67"/>
    </i>
    <i>
      <x v="1"/>
      <x v="67"/>
    </i>
    <i>
      <x v="2"/>
      <x v="1"/>
    </i>
    <i>
      <x v="3"/>
      <x v="14"/>
    </i>
    <i r="1">
      <x v="46"/>
    </i>
    <i>
      <x v="4"/>
      <x v="31"/>
    </i>
    <i>
      <x v="5"/>
      <x v="60"/>
    </i>
    <i>
      <x v="6"/>
      <x v="68"/>
    </i>
    <i>
      <x v="7"/>
      <x v="43"/>
    </i>
    <i>
      <x v="8"/>
      <x v="45"/>
    </i>
    <i>
      <x v="9"/>
      <x v="15"/>
    </i>
    <i r="1">
      <x v="68"/>
    </i>
    <i>
      <x v="10"/>
      <x v="4"/>
    </i>
    <i>
      <x v="11"/>
      <x v="25"/>
    </i>
    <i>
      <x v="12"/>
      <x v="68"/>
    </i>
    <i>
      <x v="14"/>
      <x v="55"/>
    </i>
    <i>
      <x v="15"/>
      <x v="24"/>
    </i>
    <i>
      <x v="16"/>
      <x v="47"/>
    </i>
    <i>
      <x v="17"/>
      <x v="42"/>
    </i>
    <i>
      <x v="18"/>
      <x v="64"/>
    </i>
    <i>
      <x v="19"/>
      <x v="28"/>
    </i>
    <i r="1">
      <x v="62"/>
    </i>
    <i>
      <x v="20"/>
      <x v="56"/>
    </i>
    <i>
      <x v="21"/>
      <x v="70"/>
    </i>
    <i>
      <x v="22"/>
      <x v="23"/>
    </i>
    <i>
      <x v="23"/>
      <x v="18"/>
    </i>
    <i>
      <x v="24"/>
      <x v="39"/>
    </i>
    <i>
      <x v="25"/>
      <x v="53"/>
    </i>
    <i>
      <x v="26"/>
      <x v="33"/>
    </i>
    <i>
      <x v="27"/>
      <x v="58"/>
    </i>
    <i>
      <x v="28"/>
      <x v="10"/>
    </i>
    <i r="1">
      <x v="11"/>
    </i>
    <i r="1">
      <x v="38"/>
    </i>
    <i>
      <x v="29"/>
      <x v="59"/>
    </i>
    <i>
      <x v="30"/>
      <x v="16"/>
    </i>
    <i>
      <x v="31"/>
      <x v="71"/>
    </i>
    <i>
      <x v="32"/>
      <x v="7"/>
    </i>
    <i>
      <x v="33"/>
      <x v="51"/>
    </i>
    <i>
      <x v="34"/>
      <x v="21"/>
    </i>
    <i>
      <x v="35"/>
      <x v="68"/>
    </i>
    <i>
      <x v="36"/>
      <x v="2"/>
    </i>
    <i>
      <x v="37"/>
      <x v="19"/>
    </i>
    <i r="1">
      <x v="44"/>
    </i>
    <i>
      <x v="39"/>
      <x v="54"/>
    </i>
    <i>
      <x v="40"/>
      <x v="41"/>
    </i>
    <i>
      <x v="42"/>
      <x v="69"/>
    </i>
    <i>
      <x v="44"/>
      <x v="40"/>
    </i>
    <i>
      <x v="45"/>
      <x v="52"/>
    </i>
    <i>
      <x v="46"/>
      <x v="12"/>
    </i>
    <i>
      <x v="47"/>
      <x v="34"/>
    </i>
    <i>
      <x v="48"/>
      <x v="66"/>
    </i>
    <i>
      <x v="49"/>
      <x v="63"/>
    </i>
    <i>
      <x v="50"/>
      <x/>
    </i>
    <i>
      <x v="51"/>
      <x v="65"/>
    </i>
    <i>
      <x v="53"/>
      <x v="37"/>
    </i>
    <i>
      <x v="54"/>
      <x v="66"/>
    </i>
    <i t="grand">
      <x/>
    </i>
  </rowItems>
  <colItems count="1">
    <i/>
  </colItems>
  <dataFields count="1">
    <dataField name="Сумма по полю Выдано" fld="4" baseField="0" baseItem="0" numFmtId="165"/>
  </dataFields>
  <formats count="60">
    <format dxfId="73">
      <pivotArea outline="0" collapsedLevelsAreSubtotals="1" fieldPosition="0"/>
    </format>
    <format dxfId="72">
      <pivotArea dataOnly="0" labelOnly="1" outline="0" fieldPosition="0">
        <references count="2">
          <reference field="1" count="1">
            <x v="68"/>
          </reference>
          <reference field="3" count="1" selected="0">
            <x v="21"/>
          </reference>
        </references>
      </pivotArea>
    </format>
    <format dxfId="71">
      <pivotArea dataOnly="0" labelOnly="1" outline="0" fieldPosition="0">
        <references count="2">
          <reference field="1" count="1">
            <x v="68"/>
          </reference>
          <reference field="3" count="1" selected="0">
            <x v="31"/>
          </reference>
        </references>
      </pivotArea>
    </format>
    <format dxfId="70">
      <pivotArea dataOnly="0" labelOnly="1" outline="0" fieldPosition="0">
        <references count="2">
          <reference field="1" count="3">
            <x v="25"/>
            <x v="62"/>
            <x v="68"/>
          </reference>
          <reference field="3" count="1" selected="0">
            <x v="11"/>
          </reference>
        </references>
      </pivotArea>
    </format>
    <format dxfId="69">
      <pivotArea outline="0" fieldPosition="0">
        <references count="2">
          <reference field="1" count="1" selected="0">
            <x v="67"/>
          </reference>
          <reference field="3" count="1" selected="0">
            <x v="0"/>
          </reference>
        </references>
      </pivotArea>
    </format>
    <format dxfId="68">
      <pivotArea outline="0" fieldPosition="0">
        <references count="2">
          <reference field="1" count="51" selected="0">
            <x v="0"/>
            <x v="1"/>
            <x v="2"/>
            <x v="4"/>
            <x v="7"/>
            <x v="10"/>
            <x v="11"/>
            <x v="12"/>
            <x v="14"/>
            <x v="15"/>
            <x v="16"/>
            <x v="18"/>
            <x v="19"/>
            <x v="21"/>
            <x v="23"/>
            <x v="24"/>
            <x v="25"/>
            <x v="28"/>
            <x v="31"/>
            <x v="33"/>
            <x v="34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51"/>
            <x v="52"/>
            <x v="53"/>
            <x v="54"/>
            <x v="55"/>
            <x v="56"/>
            <x v="58"/>
            <x v="59"/>
            <x v="60"/>
            <x v="62"/>
            <x v="63"/>
            <x v="64"/>
            <x v="65"/>
            <x v="66"/>
            <x v="67"/>
            <x v="68"/>
            <x v="69"/>
            <x v="70"/>
            <x v="71"/>
          </reference>
          <reference field="3" count="49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2"/>
            <x v="44"/>
            <x v="45"/>
            <x v="46"/>
            <x v="47"/>
            <x v="48"/>
            <x v="49"/>
            <x v="50"/>
            <x v="51"/>
            <x v="53"/>
          </reference>
        </references>
      </pivotArea>
    </format>
    <format dxfId="67">
      <pivotArea grandRow="1" outline="0" collapsedLevelsAreSubtotals="1" fieldPosition="0"/>
    </format>
    <format dxfId="66">
      <pivotArea dataOnly="0" labelOnly="1" outline="0" offset="IV256" fieldPosition="0">
        <references count="1">
          <reference field="3" count="1">
            <x v="0"/>
          </reference>
        </references>
      </pivotArea>
    </format>
    <format dxfId="65">
      <pivotArea dataOnly="0" labelOnly="1" outline="0" fieldPosition="0">
        <references count="1">
          <reference field="3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2"/>
            <x v="44"/>
            <x v="45"/>
            <x v="46"/>
            <x v="47"/>
            <x v="48"/>
            <x v="49"/>
            <x v="50"/>
            <x v="51"/>
            <x v="53"/>
          </reference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2">
          <reference field="1" count="1">
            <x v="67"/>
          </reference>
          <reference field="3" count="1" selected="0">
            <x v="0"/>
          </reference>
        </references>
      </pivotArea>
    </format>
    <format dxfId="62">
      <pivotArea dataOnly="0" labelOnly="1" outline="0" fieldPosition="0">
        <references count="2">
          <reference field="1" count="1">
            <x v="67"/>
          </reference>
          <reference field="3" count="1" selected="0">
            <x v="1"/>
          </reference>
        </references>
      </pivotArea>
    </format>
    <format dxfId="61">
      <pivotArea dataOnly="0" labelOnly="1" outline="0" fieldPosition="0">
        <references count="2">
          <reference field="1" count="1">
            <x v="1"/>
          </reference>
          <reference field="3" count="1" selected="0">
            <x v="2"/>
          </reference>
        </references>
      </pivotArea>
    </format>
    <format dxfId="60">
      <pivotArea dataOnly="0" labelOnly="1" outline="0" fieldPosition="0">
        <references count="2">
          <reference field="1" count="2">
            <x v="14"/>
            <x v="46"/>
          </reference>
          <reference field="3" count="1" selected="0">
            <x v="3"/>
          </reference>
        </references>
      </pivotArea>
    </format>
    <format dxfId="59">
      <pivotArea dataOnly="0" labelOnly="1" outline="0" fieldPosition="0">
        <references count="2">
          <reference field="1" count="1">
            <x v="31"/>
          </reference>
          <reference field="3" count="1" selected="0">
            <x v="4"/>
          </reference>
        </references>
      </pivotArea>
    </format>
    <format dxfId="58">
      <pivotArea dataOnly="0" labelOnly="1" outline="0" fieldPosition="0">
        <references count="2">
          <reference field="1" count="1">
            <x v="60"/>
          </reference>
          <reference field="3" count="1" selected="0">
            <x v="5"/>
          </reference>
        </references>
      </pivotArea>
    </format>
    <format dxfId="57">
      <pivotArea dataOnly="0" labelOnly="1" outline="0" fieldPosition="0">
        <references count="2">
          <reference field="1" count="1">
            <x v="68"/>
          </reference>
          <reference field="3" count="1" selected="0">
            <x v="6"/>
          </reference>
        </references>
      </pivotArea>
    </format>
    <format dxfId="56">
      <pivotArea dataOnly="0" labelOnly="1" outline="0" fieldPosition="0">
        <references count="2">
          <reference field="1" count="1">
            <x v="43"/>
          </reference>
          <reference field="3" count="1" selected="0">
            <x v="7"/>
          </reference>
        </references>
      </pivotArea>
    </format>
    <format dxfId="55">
      <pivotArea dataOnly="0" labelOnly="1" outline="0" fieldPosition="0">
        <references count="2">
          <reference field="1" count="1">
            <x v="45"/>
          </reference>
          <reference field="3" count="1" selected="0">
            <x v="8"/>
          </reference>
        </references>
      </pivotArea>
    </format>
    <format dxfId="54">
      <pivotArea dataOnly="0" labelOnly="1" outline="0" fieldPosition="0">
        <references count="2">
          <reference field="1" count="2">
            <x v="15"/>
            <x v="68"/>
          </reference>
          <reference field="3" count="1" selected="0">
            <x v="9"/>
          </reference>
        </references>
      </pivotArea>
    </format>
    <format dxfId="53">
      <pivotArea dataOnly="0" labelOnly="1" outline="0" fieldPosition="0">
        <references count="2">
          <reference field="1" count="1">
            <x v="4"/>
          </reference>
          <reference field="3" count="1" selected="0">
            <x v="10"/>
          </reference>
        </references>
      </pivotArea>
    </format>
    <format dxfId="52">
      <pivotArea dataOnly="0" labelOnly="1" outline="0" fieldPosition="0">
        <references count="2">
          <reference field="1" count="1">
            <x v="25"/>
          </reference>
          <reference field="3" count="1" selected="0">
            <x v="11"/>
          </reference>
        </references>
      </pivotArea>
    </format>
    <format dxfId="51">
      <pivotArea dataOnly="0" labelOnly="1" outline="0" fieldPosition="0">
        <references count="2">
          <reference field="1" count="1">
            <x v="68"/>
          </reference>
          <reference field="3" count="1" selected="0">
            <x v="12"/>
          </reference>
        </references>
      </pivotArea>
    </format>
    <format dxfId="50">
      <pivotArea dataOnly="0" labelOnly="1" outline="0" fieldPosition="0">
        <references count="2">
          <reference field="1" count="1">
            <x v="66"/>
          </reference>
          <reference field="3" count="1" selected="0">
            <x v="13"/>
          </reference>
        </references>
      </pivotArea>
    </format>
    <format dxfId="49">
      <pivotArea dataOnly="0" labelOnly="1" outline="0" fieldPosition="0">
        <references count="2">
          <reference field="1" count="1">
            <x v="55"/>
          </reference>
          <reference field="3" count="1" selected="0">
            <x v="14"/>
          </reference>
        </references>
      </pivotArea>
    </format>
    <format dxfId="48">
      <pivotArea dataOnly="0" labelOnly="1" outline="0" fieldPosition="0">
        <references count="2">
          <reference field="1" count="1">
            <x v="24"/>
          </reference>
          <reference field="3" count="1" selected="0">
            <x v="15"/>
          </reference>
        </references>
      </pivotArea>
    </format>
    <format dxfId="47">
      <pivotArea dataOnly="0" labelOnly="1" outline="0" fieldPosition="0">
        <references count="2">
          <reference field="1" count="1">
            <x v="47"/>
          </reference>
          <reference field="3" count="1" selected="0">
            <x v="16"/>
          </reference>
        </references>
      </pivotArea>
    </format>
    <format dxfId="46">
      <pivotArea dataOnly="0" labelOnly="1" outline="0" fieldPosition="0">
        <references count="2">
          <reference field="1" count="1">
            <x v="42"/>
          </reference>
          <reference field="3" count="1" selected="0">
            <x v="17"/>
          </reference>
        </references>
      </pivotArea>
    </format>
    <format dxfId="45">
      <pivotArea dataOnly="0" labelOnly="1" outline="0" fieldPosition="0">
        <references count="2">
          <reference field="1" count="1">
            <x v="64"/>
          </reference>
          <reference field="3" count="1" selected="0">
            <x v="18"/>
          </reference>
        </references>
      </pivotArea>
    </format>
    <format dxfId="44">
      <pivotArea dataOnly="0" labelOnly="1" outline="0" fieldPosition="0">
        <references count="2">
          <reference field="1" count="2">
            <x v="28"/>
            <x v="62"/>
          </reference>
          <reference field="3" count="1" selected="0">
            <x v="19"/>
          </reference>
        </references>
      </pivotArea>
    </format>
    <format dxfId="43">
      <pivotArea dataOnly="0" labelOnly="1" outline="0" fieldPosition="0">
        <references count="2">
          <reference field="1" count="1">
            <x v="56"/>
          </reference>
          <reference field="3" count="1" selected="0">
            <x v="20"/>
          </reference>
        </references>
      </pivotArea>
    </format>
    <format dxfId="42">
      <pivotArea dataOnly="0" labelOnly="1" outline="0" fieldPosition="0">
        <references count="2">
          <reference field="1" count="1">
            <x v="70"/>
          </reference>
          <reference field="3" count="1" selected="0">
            <x v="21"/>
          </reference>
        </references>
      </pivotArea>
    </format>
    <format dxfId="41">
      <pivotArea dataOnly="0" labelOnly="1" outline="0" fieldPosition="0">
        <references count="2">
          <reference field="1" count="1">
            <x v="23"/>
          </reference>
          <reference field="3" count="1" selected="0">
            <x v="22"/>
          </reference>
        </references>
      </pivotArea>
    </format>
    <format dxfId="40">
      <pivotArea dataOnly="0" labelOnly="1" outline="0" fieldPosition="0">
        <references count="2">
          <reference field="1" count="1">
            <x v="18"/>
          </reference>
          <reference field="3" count="1" selected="0">
            <x v="23"/>
          </reference>
        </references>
      </pivotArea>
    </format>
    <format dxfId="39">
      <pivotArea dataOnly="0" labelOnly="1" outline="0" fieldPosition="0">
        <references count="2">
          <reference field="1" count="1">
            <x v="39"/>
          </reference>
          <reference field="3" count="1" selected="0">
            <x v="24"/>
          </reference>
        </references>
      </pivotArea>
    </format>
    <format dxfId="38">
      <pivotArea dataOnly="0" labelOnly="1" outline="0" fieldPosition="0">
        <references count="2">
          <reference field="1" count="1">
            <x v="53"/>
          </reference>
          <reference field="3" count="1" selected="0">
            <x v="25"/>
          </reference>
        </references>
      </pivotArea>
    </format>
    <format dxfId="37">
      <pivotArea dataOnly="0" labelOnly="1" outline="0" fieldPosition="0">
        <references count="2">
          <reference field="1" count="1">
            <x v="33"/>
          </reference>
          <reference field="3" count="1" selected="0">
            <x v="26"/>
          </reference>
        </references>
      </pivotArea>
    </format>
    <format dxfId="36">
      <pivotArea dataOnly="0" labelOnly="1" outline="0" fieldPosition="0">
        <references count="2">
          <reference field="1" count="1">
            <x v="58"/>
          </reference>
          <reference field="3" count="1" selected="0">
            <x v="27"/>
          </reference>
        </references>
      </pivotArea>
    </format>
    <format dxfId="35">
      <pivotArea dataOnly="0" labelOnly="1" outline="0" fieldPosition="0">
        <references count="2">
          <reference field="1" count="3">
            <x v="10"/>
            <x v="11"/>
            <x v="38"/>
          </reference>
          <reference field="3" count="1" selected="0">
            <x v="28"/>
          </reference>
        </references>
      </pivotArea>
    </format>
    <format dxfId="34">
      <pivotArea dataOnly="0" labelOnly="1" outline="0" fieldPosition="0">
        <references count="2">
          <reference field="1" count="1">
            <x v="59"/>
          </reference>
          <reference field="3" count="1" selected="0">
            <x v="29"/>
          </reference>
        </references>
      </pivotArea>
    </format>
    <format dxfId="33">
      <pivotArea dataOnly="0" labelOnly="1" outline="0" fieldPosition="0">
        <references count="2">
          <reference field="1" count="1">
            <x v="16"/>
          </reference>
          <reference field="3" count="1" selected="0">
            <x v="30"/>
          </reference>
        </references>
      </pivotArea>
    </format>
    <format dxfId="32">
      <pivotArea dataOnly="0" labelOnly="1" outline="0" fieldPosition="0">
        <references count="2">
          <reference field="1" count="1">
            <x v="71"/>
          </reference>
          <reference field="3" count="1" selected="0">
            <x v="31"/>
          </reference>
        </references>
      </pivotArea>
    </format>
    <format dxfId="31">
      <pivotArea dataOnly="0" labelOnly="1" outline="0" fieldPosition="0">
        <references count="2">
          <reference field="1" count="1">
            <x v="7"/>
          </reference>
          <reference field="3" count="1" selected="0">
            <x v="32"/>
          </reference>
        </references>
      </pivotArea>
    </format>
    <format dxfId="30">
      <pivotArea dataOnly="0" labelOnly="1" outline="0" fieldPosition="0">
        <references count="2">
          <reference field="1" count="1">
            <x v="51"/>
          </reference>
          <reference field="3" count="1" selected="0">
            <x v="33"/>
          </reference>
        </references>
      </pivotArea>
    </format>
    <format dxfId="29">
      <pivotArea dataOnly="0" labelOnly="1" outline="0" fieldPosition="0">
        <references count="2">
          <reference field="1" count="1">
            <x v="21"/>
          </reference>
          <reference field="3" count="1" selected="0">
            <x v="34"/>
          </reference>
        </references>
      </pivotArea>
    </format>
    <format dxfId="28">
      <pivotArea dataOnly="0" labelOnly="1" outline="0" fieldPosition="0">
        <references count="2">
          <reference field="1" count="1">
            <x v="68"/>
          </reference>
          <reference field="3" count="1" selected="0">
            <x v="35"/>
          </reference>
        </references>
      </pivotArea>
    </format>
    <format dxfId="27">
      <pivotArea dataOnly="0" labelOnly="1" outline="0" fieldPosition="0">
        <references count="2">
          <reference field="1" count="1">
            <x v="2"/>
          </reference>
          <reference field="3" count="1" selected="0">
            <x v="36"/>
          </reference>
        </references>
      </pivotArea>
    </format>
    <format dxfId="26">
      <pivotArea dataOnly="0" labelOnly="1" outline="0" fieldPosition="0">
        <references count="2">
          <reference field="1" count="2">
            <x v="19"/>
            <x v="44"/>
          </reference>
          <reference field="3" count="1" selected="0">
            <x v="37"/>
          </reference>
        </references>
      </pivotArea>
    </format>
    <format dxfId="25">
      <pivotArea dataOnly="0" labelOnly="1" outline="0" fieldPosition="0">
        <references count="2">
          <reference field="1" count="1">
            <x v="54"/>
          </reference>
          <reference field="3" count="1" selected="0">
            <x v="39"/>
          </reference>
        </references>
      </pivotArea>
    </format>
    <format dxfId="24">
      <pivotArea dataOnly="0" labelOnly="1" outline="0" fieldPosition="0">
        <references count="2">
          <reference field="1" count="1">
            <x v="41"/>
          </reference>
          <reference field="3" count="1" selected="0">
            <x v="40"/>
          </reference>
        </references>
      </pivotArea>
    </format>
    <format dxfId="23">
      <pivotArea dataOnly="0" labelOnly="1" outline="0" fieldPosition="0">
        <references count="2">
          <reference field="1" count="1">
            <x v="69"/>
          </reference>
          <reference field="3" count="1" selected="0">
            <x v="42"/>
          </reference>
        </references>
      </pivotArea>
    </format>
    <format dxfId="22">
      <pivotArea dataOnly="0" labelOnly="1" outline="0" fieldPosition="0">
        <references count="2">
          <reference field="1" count="1">
            <x v="40"/>
          </reference>
          <reference field="3" count="1" selected="0">
            <x v="44"/>
          </reference>
        </references>
      </pivotArea>
    </format>
    <format dxfId="21">
      <pivotArea dataOnly="0" labelOnly="1" outline="0" fieldPosition="0">
        <references count="2">
          <reference field="1" count="1">
            <x v="52"/>
          </reference>
          <reference field="3" count="1" selected="0">
            <x v="45"/>
          </reference>
        </references>
      </pivotArea>
    </format>
    <format dxfId="20">
      <pivotArea dataOnly="0" labelOnly="1" outline="0" fieldPosition="0">
        <references count="2">
          <reference field="1" count="1">
            <x v="12"/>
          </reference>
          <reference field="3" count="1" selected="0">
            <x v="46"/>
          </reference>
        </references>
      </pivotArea>
    </format>
    <format dxfId="19">
      <pivotArea dataOnly="0" labelOnly="1" outline="0" fieldPosition="0">
        <references count="2">
          <reference field="1" count="1">
            <x v="34"/>
          </reference>
          <reference field="3" count="1" selected="0">
            <x v="47"/>
          </reference>
        </references>
      </pivotArea>
    </format>
    <format dxfId="18">
      <pivotArea dataOnly="0" labelOnly="1" outline="0" fieldPosition="0">
        <references count="2">
          <reference field="1" count="1">
            <x v="66"/>
          </reference>
          <reference field="3" count="1" selected="0">
            <x v="48"/>
          </reference>
        </references>
      </pivotArea>
    </format>
    <format dxfId="17">
      <pivotArea dataOnly="0" labelOnly="1" outline="0" fieldPosition="0">
        <references count="2">
          <reference field="1" count="1">
            <x v="63"/>
          </reference>
          <reference field="3" count="1" selected="0">
            <x v="49"/>
          </reference>
        </references>
      </pivotArea>
    </format>
    <format dxfId="16">
      <pivotArea dataOnly="0" labelOnly="1" outline="0" fieldPosition="0">
        <references count="2">
          <reference field="1" count="1">
            <x v="0"/>
          </reference>
          <reference field="3" count="1" selected="0">
            <x v="50"/>
          </reference>
        </references>
      </pivotArea>
    </format>
    <format dxfId="15">
      <pivotArea dataOnly="0" labelOnly="1" outline="0" fieldPosition="0">
        <references count="2">
          <reference field="1" count="1">
            <x v="65"/>
          </reference>
          <reference field="3" count="1" selected="0">
            <x v="51"/>
          </reference>
        </references>
      </pivotArea>
    </format>
    <format dxfId="14">
      <pivotArea dataOnly="0" labelOnly="1" outline="0" fieldPosition="0">
        <references count="2">
          <reference field="1" count="1">
            <x v="37"/>
          </reference>
          <reference field="3" count="1" selected="0">
            <x v="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7D25B-3F7D-482B-8DED-EB481ABC28C6}" name="Сводная таблица5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2" firstHeaderRow="1" firstDataRow="1" firstDataCol="1"/>
  <pivotFields count="5">
    <pivotField numFmtId="164" showAll="0"/>
    <pivotField axis="axisRow" showAll="0">
      <items count="66">
        <item x="15"/>
        <item m="1" x="48"/>
        <item x="38"/>
        <item x="16"/>
        <item m="1" x="64"/>
        <item x="47"/>
        <item x="27"/>
        <item x="26"/>
        <item x="29"/>
        <item x="41"/>
        <item m="1" x="63"/>
        <item x="13"/>
        <item x="17"/>
        <item m="1" x="62"/>
        <item m="1" x="61"/>
        <item x="35"/>
        <item m="1" x="60"/>
        <item x="12"/>
        <item x="5"/>
        <item x="6"/>
        <item x="23"/>
        <item m="1" x="59"/>
        <item x="36"/>
        <item x="2"/>
        <item x="43"/>
        <item x="22"/>
        <item m="1" x="58"/>
        <item x="18"/>
        <item x="11"/>
        <item x="7"/>
        <item m="1" x="57"/>
        <item x="9"/>
        <item x="34"/>
        <item m="1" x="56"/>
        <item x="0"/>
        <item m="1" x="55"/>
        <item x="37"/>
        <item x="19"/>
        <item x="45"/>
        <item x="42"/>
        <item x="28"/>
        <item x="4"/>
        <item x="14"/>
        <item x="1"/>
        <item x="40"/>
        <item x="39"/>
        <item x="8"/>
        <item x="21"/>
        <item x="46"/>
        <item x="10"/>
        <item x="30"/>
        <item x="32"/>
        <item x="24"/>
        <item x="20"/>
        <item x="33"/>
        <item x="44"/>
        <item x="31"/>
        <item m="1" x="52"/>
        <item m="1" x="53"/>
        <item x="3"/>
        <item x="25"/>
        <item m="1" x="51"/>
        <item m="1" x="50"/>
        <item m="1" x="49"/>
        <item m="1" x="54"/>
        <item t="default"/>
      </items>
    </pivotField>
    <pivotField showAll="0"/>
    <pivotField showAll="0"/>
    <pivotField dataField="1" showAll="0"/>
  </pivotFields>
  <rowFields count="1">
    <field x="1"/>
  </rowFields>
  <rowItems count="49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1"/>
    </i>
    <i>
      <x v="12"/>
    </i>
    <i>
      <x v="15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7"/>
    </i>
    <i>
      <x v="28"/>
    </i>
    <i>
      <x v="29"/>
    </i>
    <i>
      <x v="31"/>
    </i>
    <i>
      <x v="32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9"/>
    </i>
    <i>
      <x v="60"/>
    </i>
    <i t="grand">
      <x/>
    </i>
  </rowItems>
  <colItems count="1">
    <i/>
  </colItems>
  <dataFields count="1">
    <dataField name="Сумма по полю кол рейсов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5654-C539-453C-A643-D30DA7FAD530}">
  <sheetPr>
    <tabColor rgb="FFFFC000"/>
  </sheetPr>
  <dimension ref="A1:W66"/>
  <sheetViews>
    <sheetView tabSelected="1" zoomScale="70" zoomScaleNormal="70" workbookViewId="0">
      <selection activeCell="V25" sqref="V25"/>
    </sheetView>
  </sheetViews>
  <sheetFormatPr defaultRowHeight="14.4" x14ac:dyDescent="0.3"/>
  <cols>
    <col min="1" max="1" width="11.21875" bestFit="1" customWidth="1"/>
    <col min="2" max="2" width="13.21875" bestFit="1" customWidth="1"/>
    <col min="3" max="3" width="8" bestFit="1" customWidth="1"/>
    <col min="6" max="6" width="11.21875" bestFit="1" customWidth="1"/>
    <col min="7" max="7" width="12.33203125" bestFit="1" customWidth="1"/>
    <col min="8" max="8" width="12" bestFit="1" customWidth="1"/>
    <col min="13" max="13" width="12.33203125" bestFit="1" customWidth="1"/>
    <col min="14" max="14" width="13.21875" bestFit="1" customWidth="1"/>
  </cols>
  <sheetData>
    <row r="1" spans="1:23" ht="15" thickBot="1" x14ac:dyDescent="0.35"/>
    <row r="2" spans="1:23" x14ac:dyDescent="0.3">
      <c r="A2" s="63" t="s">
        <v>263</v>
      </c>
      <c r="F2" t="s">
        <v>264</v>
      </c>
      <c r="L2" s="64" t="s">
        <v>268</v>
      </c>
      <c r="M2" s="48"/>
      <c r="N2" s="48"/>
      <c r="O2" s="48"/>
      <c r="P2" s="49"/>
      <c r="R2" s="63" t="s">
        <v>274</v>
      </c>
    </row>
    <row r="3" spans="1:23" x14ac:dyDescent="0.3">
      <c r="A3" s="61" t="s">
        <v>2</v>
      </c>
      <c r="B3" s="61" t="s">
        <v>29</v>
      </c>
      <c r="C3" s="61" t="s">
        <v>1</v>
      </c>
      <c r="D3" s="61" t="s">
        <v>260</v>
      </c>
      <c r="F3" s="36" t="s">
        <v>265</v>
      </c>
      <c r="G3" s="36" t="s">
        <v>266</v>
      </c>
      <c r="H3" s="61" t="s">
        <v>277</v>
      </c>
      <c r="J3" s="62" t="s">
        <v>276</v>
      </c>
      <c r="L3" s="50" t="s">
        <v>265</v>
      </c>
      <c r="M3" s="36" t="s">
        <v>267</v>
      </c>
      <c r="N3" s="61" t="s">
        <v>277</v>
      </c>
      <c r="P3" s="62" t="s">
        <v>276</v>
      </c>
      <c r="R3" s="61" t="s">
        <v>275</v>
      </c>
      <c r="S3" s="61" t="s">
        <v>274</v>
      </c>
      <c r="V3" s="22" t="s">
        <v>186</v>
      </c>
      <c r="W3" t="s">
        <v>259</v>
      </c>
    </row>
    <row r="4" spans="1:23" x14ac:dyDescent="0.3">
      <c r="A4" t="s">
        <v>46</v>
      </c>
      <c r="B4" t="s">
        <v>248</v>
      </c>
      <c r="C4" t="s">
        <v>25</v>
      </c>
      <c r="D4" t="str">
        <f>LEFT(C4,1)</f>
        <v>A</v>
      </c>
      <c r="F4" t="s">
        <v>20</v>
      </c>
      <c r="G4">
        <v>1641</v>
      </c>
      <c r="H4" t="str">
        <f>VLOOKUP(F4,$A$4:$D$66,2,0)</f>
        <v>Русланов</v>
      </c>
      <c r="J4" t="e">
        <f>VLOOKUP(F4,$R$4:$S$51,1,0)</f>
        <v>#N/A</v>
      </c>
      <c r="L4" s="52" t="s">
        <v>46</v>
      </c>
      <c r="M4" s="43">
        <v>1143.69</v>
      </c>
      <c r="N4" t="str">
        <f>VLOOKUP(L4,$A$4:$B$66,2,0)</f>
        <v>Баекенов</v>
      </c>
      <c r="P4" s="51" t="str">
        <f>VLOOKUP(L4,$R$4:$S$51,1,0)</f>
        <v>011 AJI</v>
      </c>
      <c r="R4" t="s">
        <v>46</v>
      </c>
      <c r="S4">
        <v>55</v>
      </c>
      <c r="V4" s="5" t="s">
        <v>261</v>
      </c>
      <c r="W4">
        <v>2</v>
      </c>
    </row>
    <row r="5" spans="1:23" x14ac:dyDescent="0.3">
      <c r="A5" t="s">
        <v>45</v>
      </c>
      <c r="B5" t="s">
        <v>225</v>
      </c>
      <c r="C5" t="s">
        <v>21</v>
      </c>
      <c r="D5" t="str">
        <f t="shared" ref="D5:D66" si="0">LEFT(C5,1)</f>
        <v>A</v>
      </c>
      <c r="F5" t="s">
        <v>14</v>
      </c>
      <c r="G5">
        <v>1075</v>
      </c>
      <c r="H5" t="str">
        <f t="shared" ref="H5:H38" si="1">VLOOKUP(F5,$A$4:$D$66,2,0)</f>
        <v>Куанышбаев</v>
      </c>
      <c r="J5" t="e">
        <f t="shared" ref="J5:J38" si="2">VLOOKUP(F5,$R$4:$S$51,1,0)</f>
        <v>#N/A</v>
      </c>
      <c r="L5" s="52" t="s">
        <v>45</v>
      </c>
      <c r="M5" s="43">
        <v>230.4</v>
      </c>
      <c r="N5" t="str">
        <f t="shared" ref="N5:N52" si="3">VLOOKUP(L5,$A$4:$B$66,2,0)</f>
        <v>Шотыбаев</v>
      </c>
      <c r="P5" s="51" t="e">
        <f t="shared" ref="P5:P53" si="4">VLOOKUP(L5,$R$4:$S$51,1,0)</f>
        <v>#N/A</v>
      </c>
      <c r="R5" t="s">
        <v>27</v>
      </c>
      <c r="S5">
        <v>2</v>
      </c>
      <c r="V5" s="5" t="s">
        <v>262</v>
      </c>
      <c r="W5">
        <v>32</v>
      </c>
    </row>
    <row r="6" spans="1:23" x14ac:dyDescent="0.3">
      <c r="A6" t="s">
        <v>107</v>
      </c>
      <c r="B6" t="s">
        <v>187</v>
      </c>
      <c r="C6" t="s">
        <v>11</v>
      </c>
      <c r="D6" t="str">
        <f t="shared" si="0"/>
        <v>E</v>
      </c>
      <c r="F6" t="s">
        <v>17</v>
      </c>
      <c r="G6">
        <v>1555</v>
      </c>
      <c r="H6" t="str">
        <f t="shared" si="1"/>
        <v>Абылхаиров</v>
      </c>
      <c r="J6" t="e">
        <f t="shared" si="2"/>
        <v>#N/A</v>
      </c>
      <c r="L6" s="52" t="s">
        <v>27</v>
      </c>
      <c r="M6" s="43">
        <v>688.02</v>
      </c>
      <c r="N6" t="str">
        <f t="shared" si="3"/>
        <v>Куанышбайев</v>
      </c>
      <c r="P6" s="51" t="str">
        <f t="shared" si="4"/>
        <v>058 AMY</v>
      </c>
      <c r="R6" t="s">
        <v>74</v>
      </c>
      <c r="S6">
        <v>113</v>
      </c>
      <c r="V6" s="5" t="s">
        <v>9</v>
      </c>
      <c r="W6">
        <v>3</v>
      </c>
    </row>
    <row r="7" spans="1:23" x14ac:dyDescent="0.3">
      <c r="A7" t="s">
        <v>20</v>
      </c>
      <c r="B7" t="s">
        <v>209</v>
      </c>
      <c r="C7" t="s">
        <v>13</v>
      </c>
      <c r="D7" t="str">
        <f t="shared" si="0"/>
        <v>P</v>
      </c>
      <c r="F7" t="s">
        <v>103</v>
      </c>
      <c r="G7">
        <v>5193</v>
      </c>
      <c r="H7" t="str">
        <f t="shared" si="1"/>
        <v>Саликов</v>
      </c>
      <c r="J7" t="e">
        <f t="shared" si="2"/>
        <v>#N/A</v>
      </c>
      <c r="L7" s="53" t="s">
        <v>74</v>
      </c>
      <c r="M7" s="44">
        <v>1290</v>
      </c>
      <c r="N7" s="7" t="e">
        <f t="shared" si="3"/>
        <v>#N/A</v>
      </c>
      <c r="P7" s="51" t="str">
        <f t="shared" si="4"/>
        <v>066 AMP</v>
      </c>
      <c r="R7" t="s">
        <v>57</v>
      </c>
      <c r="S7">
        <v>14</v>
      </c>
      <c r="V7" s="5" t="s">
        <v>11</v>
      </c>
      <c r="W7">
        <v>4</v>
      </c>
    </row>
    <row r="8" spans="1:23" x14ac:dyDescent="0.3">
      <c r="A8" t="s">
        <v>116</v>
      </c>
      <c r="B8" t="s">
        <v>187</v>
      </c>
      <c r="C8" t="s">
        <v>21</v>
      </c>
      <c r="D8" t="str">
        <f t="shared" si="0"/>
        <v>A</v>
      </c>
      <c r="F8" s="7" t="s">
        <v>133</v>
      </c>
      <c r="G8" s="7">
        <v>100</v>
      </c>
      <c r="H8" s="7" t="e">
        <f t="shared" si="1"/>
        <v>#N/A</v>
      </c>
      <c r="J8" t="str">
        <f t="shared" si="2"/>
        <v>129 AMT</v>
      </c>
      <c r="L8" s="52" t="s">
        <v>57</v>
      </c>
      <c r="M8" s="43">
        <v>690.05</v>
      </c>
      <c r="N8" t="str">
        <f t="shared" si="3"/>
        <v>Жилкибаев</v>
      </c>
      <c r="P8" s="51" t="str">
        <f t="shared" si="4"/>
        <v>094 AHX</v>
      </c>
      <c r="R8" t="s">
        <v>133</v>
      </c>
      <c r="S8">
        <v>46</v>
      </c>
      <c r="V8" s="5" t="s">
        <v>98</v>
      </c>
      <c r="W8">
        <v>4</v>
      </c>
    </row>
    <row r="9" spans="1:23" x14ac:dyDescent="0.3">
      <c r="A9" t="s">
        <v>14</v>
      </c>
      <c r="B9" t="s">
        <v>208</v>
      </c>
      <c r="C9" t="s">
        <v>13</v>
      </c>
      <c r="D9" t="str">
        <f t="shared" si="0"/>
        <v>P</v>
      </c>
      <c r="F9" t="s">
        <v>115</v>
      </c>
      <c r="G9">
        <v>730</v>
      </c>
      <c r="H9" t="str">
        <f t="shared" si="1"/>
        <v>Койшыбаев</v>
      </c>
      <c r="J9" t="e">
        <f t="shared" si="2"/>
        <v>#N/A</v>
      </c>
      <c r="L9" s="53" t="s">
        <v>133</v>
      </c>
      <c r="M9" s="44">
        <v>200</v>
      </c>
      <c r="N9" s="7" t="e">
        <f t="shared" si="3"/>
        <v>#N/A</v>
      </c>
      <c r="P9" s="51" t="str">
        <f t="shared" si="4"/>
        <v>129 AMT</v>
      </c>
      <c r="R9" t="s">
        <v>160</v>
      </c>
      <c r="S9">
        <v>33</v>
      </c>
      <c r="V9" s="5" t="s">
        <v>10</v>
      </c>
      <c r="W9">
        <v>3</v>
      </c>
    </row>
    <row r="10" spans="1:23" x14ac:dyDescent="0.3">
      <c r="A10" t="s">
        <v>27</v>
      </c>
      <c r="B10" t="s">
        <v>216</v>
      </c>
      <c r="C10" t="s">
        <v>21</v>
      </c>
      <c r="D10" t="str">
        <f t="shared" si="0"/>
        <v>A</v>
      </c>
      <c r="F10" t="s">
        <v>15</v>
      </c>
      <c r="G10">
        <v>1205</v>
      </c>
      <c r="H10" t="str">
        <f t="shared" si="1"/>
        <v>Куанышбаев</v>
      </c>
      <c r="J10" t="e">
        <f t="shared" si="2"/>
        <v>#N/A</v>
      </c>
      <c r="L10" s="52" t="s">
        <v>91</v>
      </c>
      <c r="M10" s="43">
        <v>404</v>
      </c>
      <c r="N10" t="str">
        <f t="shared" si="3"/>
        <v>Бежанов</v>
      </c>
      <c r="P10" s="51" t="e">
        <f t="shared" si="4"/>
        <v>#N/A</v>
      </c>
      <c r="R10" t="s">
        <v>163</v>
      </c>
      <c r="S10">
        <v>26</v>
      </c>
      <c r="V10" s="5" t="s">
        <v>13</v>
      </c>
      <c r="W10">
        <v>10</v>
      </c>
    </row>
    <row r="11" spans="1:23" x14ac:dyDescent="0.3">
      <c r="A11" t="s">
        <v>17</v>
      </c>
      <c r="B11" t="s">
        <v>191</v>
      </c>
      <c r="C11" t="s">
        <v>13</v>
      </c>
      <c r="D11" t="str">
        <f t="shared" si="0"/>
        <v>P</v>
      </c>
      <c r="F11" t="s">
        <v>121</v>
      </c>
      <c r="G11">
        <v>1135</v>
      </c>
      <c r="H11" t="str">
        <f t="shared" si="1"/>
        <v>Тургумбаев</v>
      </c>
      <c r="J11" t="e">
        <f t="shared" si="2"/>
        <v>#N/A</v>
      </c>
      <c r="L11" s="53" t="s">
        <v>160</v>
      </c>
      <c r="M11" s="44">
        <v>765</v>
      </c>
      <c r="N11" s="7" t="e">
        <f t="shared" si="3"/>
        <v>#N/A</v>
      </c>
      <c r="P11" s="51" t="str">
        <f t="shared" si="4"/>
        <v>183 AGS</v>
      </c>
      <c r="R11" t="s">
        <v>22</v>
      </c>
      <c r="S11">
        <v>1</v>
      </c>
      <c r="V11" s="5" t="s">
        <v>105</v>
      </c>
      <c r="W11">
        <v>4</v>
      </c>
    </row>
    <row r="12" spans="1:23" x14ac:dyDescent="0.3">
      <c r="A12" t="s">
        <v>103</v>
      </c>
      <c r="B12" t="s">
        <v>143</v>
      </c>
      <c r="C12" t="s">
        <v>11</v>
      </c>
      <c r="D12" t="str">
        <f t="shared" si="0"/>
        <v>E</v>
      </c>
      <c r="F12" s="27" t="s">
        <v>131</v>
      </c>
      <c r="G12" s="27">
        <v>150</v>
      </c>
      <c r="H12" s="27" t="e">
        <f t="shared" si="1"/>
        <v>#N/A</v>
      </c>
      <c r="I12" t="s">
        <v>106</v>
      </c>
      <c r="J12" t="e">
        <f t="shared" si="2"/>
        <v>#N/A</v>
      </c>
      <c r="L12" s="53" t="s">
        <v>163</v>
      </c>
      <c r="M12" s="44">
        <v>636.49</v>
      </c>
      <c r="N12" s="7" t="e">
        <f t="shared" si="3"/>
        <v>#N/A</v>
      </c>
      <c r="P12" s="51" t="str">
        <f t="shared" si="4"/>
        <v>190 ADB</v>
      </c>
      <c r="R12" t="s">
        <v>65</v>
      </c>
      <c r="S12">
        <v>72</v>
      </c>
      <c r="V12" s="5" t="s">
        <v>188</v>
      </c>
      <c r="W12">
        <v>62</v>
      </c>
    </row>
    <row r="13" spans="1:23" x14ac:dyDescent="0.3">
      <c r="A13" t="s">
        <v>57</v>
      </c>
      <c r="B13" t="s">
        <v>217</v>
      </c>
      <c r="C13" t="s">
        <v>25</v>
      </c>
      <c r="D13" t="str">
        <f t="shared" si="0"/>
        <v>A</v>
      </c>
      <c r="F13" t="s">
        <v>104</v>
      </c>
      <c r="G13">
        <v>1044</v>
      </c>
      <c r="H13" t="str">
        <f t="shared" si="1"/>
        <v>Абылхаиров</v>
      </c>
      <c r="J13" t="e">
        <f t="shared" si="2"/>
        <v>#N/A</v>
      </c>
      <c r="L13" s="52" t="s">
        <v>22</v>
      </c>
      <c r="M13" s="43">
        <v>1089.9899999999998</v>
      </c>
      <c r="N13" t="str">
        <f t="shared" si="3"/>
        <v>Қалдыгулов</v>
      </c>
      <c r="P13" s="51" t="str">
        <f t="shared" si="4"/>
        <v>191 ABV</v>
      </c>
      <c r="R13" t="s">
        <v>118</v>
      </c>
      <c r="S13">
        <v>25</v>
      </c>
    </row>
    <row r="14" spans="1:23" x14ac:dyDescent="0.3">
      <c r="A14" t="s">
        <v>122</v>
      </c>
      <c r="B14" t="s">
        <v>187</v>
      </c>
      <c r="C14" t="s">
        <v>21</v>
      </c>
      <c r="D14" t="str">
        <f t="shared" si="0"/>
        <v>A</v>
      </c>
      <c r="F14" t="s">
        <v>102</v>
      </c>
      <c r="G14">
        <v>1220</v>
      </c>
      <c r="H14" t="str">
        <f t="shared" si="1"/>
        <v>Абылхаиров</v>
      </c>
      <c r="J14" t="e">
        <f t="shared" si="2"/>
        <v>#N/A</v>
      </c>
      <c r="L14" s="52" t="s">
        <v>60</v>
      </c>
      <c r="M14" s="43">
        <v>180</v>
      </c>
      <c r="N14" t="str">
        <f t="shared" si="3"/>
        <v>(пусто)</v>
      </c>
      <c r="P14" s="51" t="e">
        <f t="shared" si="4"/>
        <v>#N/A</v>
      </c>
      <c r="R14" t="s">
        <v>168</v>
      </c>
      <c r="S14">
        <v>4</v>
      </c>
    </row>
    <row r="15" spans="1:23" x14ac:dyDescent="0.3">
      <c r="A15" t="s">
        <v>91</v>
      </c>
      <c r="B15" t="s">
        <v>199</v>
      </c>
      <c r="C15" t="s">
        <v>90</v>
      </c>
      <c r="D15" t="str">
        <f t="shared" si="0"/>
        <v>A</v>
      </c>
      <c r="F15" t="s">
        <v>111</v>
      </c>
      <c r="G15">
        <v>929</v>
      </c>
      <c r="H15" t="str">
        <f t="shared" si="1"/>
        <v>Молдаев</v>
      </c>
      <c r="J15" t="e">
        <f t="shared" si="2"/>
        <v>#N/A</v>
      </c>
      <c r="L15" s="54" t="s">
        <v>65</v>
      </c>
      <c r="M15" s="45">
        <v>860</v>
      </c>
      <c r="N15" s="27" t="e">
        <f t="shared" si="3"/>
        <v>#N/A</v>
      </c>
      <c r="O15" t="s">
        <v>124</v>
      </c>
      <c r="P15" s="51" t="str">
        <f t="shared" si="4"/>
        <v>243 ALN</v>
      </c>
      <c r="R15" t="s">
        <v>93</v>
      </c>
      <c r="S15">
        <v>65</v>
      </c>
    </row>
    <row r="16" spans="1:23" x14ac:dyDescent="0.3">
      <c r="A16" t="s">
        <v>115</v>
      </c>
      <c r="B16" t="s">
        <v>140</v>
      </c>
      <c r="C16" t="s">
        <v>10</v>
      </c>
      <c r="D16" t="str">
        <f t="shared" si="0"/>
        <v>K</v>
      </c>
      <c r="F16" s="27" t="s">
        <v>177</v>
      </c>
      <c r="G16" s="27">
        <v>290</v>
      </c>
      <c r="H16" s="27" t="e">
        <f>VLOOKUP(F16,$A$4:$D$66,2,0)</f>
        <v>#N/A</v>
      </c>
      <c r="I16" t="s">
        <v>223</v>
      </c>
      <c r="J16" t="e">
        <f t="shared" si="2"/>
        <v>#N/A</v>
      </c>
      <c r="L16" s="52" t="s">
        <v>118</v>
      </c>
      <c r="M16" s="43">
        <v>300</v>
      </c>
      <c r="N16" t="str">
        <f t="shared" si="3"/>
        <v>Сагынжан</v>
      </c>
      <c r="P16" s="51" t="str">
        <f t="shared" si="4"/>
        <v>248 AAF</v>
      </c>
      <c r="R16" t="s">
        <v>48</v>
      </c>
      <c r="S16">
        <v>79</v>
      </c>
    </row>
    <row r="17" spans="1:19" x14ac:dyDescent="0.3">
      <c r="A17" t="s">
        <v>22</v>
      </c>
      <c r="B17" t="s">
        <v>221</v>
      </c>
      <c r="C17" t="s">
        <v>21</v>
      </c>
      <c r="D17" t="str">
        <f t="shared" si="0"/>
        <v>A</v>
      </c>
      <c r="F17" s="66" t="s">
        <v>130</v>
      </c>
      <c r="G17" s="67">
        <v>126</v>
      </c>
      <c r="H17" s="66" t="e">
        <f t="shared" si="1"/>
        <v>#N/A</v>
      </c>
      <c r="I17" s="66"/>
      <c r="J17" s="66" t="e">
        <f t="shared" si="2"/>
        <v>#N/A</v>
      </c>
      <c r="L17" s="53" t="s">
        <v>168</v>
      </c>
      <c r="M17" s="44">
        <v>265.41000000000003</v>
      </c>
      <c r="N17" s="7" t="e">
        <f t="shared" si="3"/>
        <v>#N/A</v>
      </c>
      <c r="P17" s="51" t="str">
        <f t="shared" si="4"/>
        <v>290 AFM</v>
      </c>
      <c r="R17" t="s">
        <v>47</v>
      </c>
      <c r="S17">
        <v>89</v>
      </c>
    </row>
    <row r="18" spans="1:19" x14ac:dyDescent="0.3">
      <c r="A18" t="s">
        <v>60</v>
      </c>
      <c r="B18" t="s">
        <v>187</v>
      </c>
      <c r="C18" t="s">
        <v>25</v>
      </c>
      <c r="D18" t="str">
        <f t="shared" si="0"/>
        <v>A</v>
      </c>
      <c r="F18" t="s">
        <v>19</v>
      </c>
      <c r="G18">
        <v>2126</v>
      </c>
      <c r="H18" t="str">
        <f t="shared" si="1"/>
        <v>Кенжебаев</v>
      </c>
      <c r="J18" t="e">
        <f t="shared" si="2"/>
        <v>#N/A</v>
      </c>
      <c r="L18" s="52" t="s">
        <v>93</v>
      </c>
      <c r="M18" s="43">
        <v>350.02</v>
      </c>
      <c r="N18" t="str">
        <f t="shared" si="3"/>
        <v>(пусто)</v>
      </c>
      <c r="P18" s="51" t="str">
        <f t="shared" si="4"/>
        <v>353 FJ</v>
      </c>
      <c r="R18" t="s">
        <v>123</v>
      </c>
      <c r="S18">
        <v>68</v>
      </c>
    </row>
    <row r="19" spans="1:19" x14ac:dyDescent="0.3">
      <c r="A19" t="s">
        <v>15</v>
      </c>
      <c r="B19" t="s">
        <v>208</v>
      </c>
      <c r="C19" t="s">
        <v>13</v>
      </c>
      <c r="D19" t="str">
        <f t="shared" si="0"/>
        <v>P</v>
      </c>
      <c r="F19" t="s">
        <v>5</v>
      </c>
      <c r="G19">
        <v>826</v>
      </c>
      <c r="H19" t="str">
        <f t="shared" si="1"/>
        <v>Медыбаев</v>
      </c>
      <c r="J19" t="e">
        <f t="shared" si="2"/>
        <v>#N/A</v>
      </c>
      <c r="L19" s="52" t="s">
        <v>48</v>
      </c>
      <c r="M19" s="43">
        <v>885.16</v>
      </c>
      <c r="N19" t="str">
        <f t="shared" si="3"/>
        <v>Сағынай С</v>
      </c>
      <c r="P19" s="51" t="str">
        <f t="shared" si="4"/>
        <v>374 AHO</v>
      </c>
      <c r="R19" t="s">
        <v>169</v>
      </c>
      <c r="S19">
        <v>17</v>
      </c>
    </row>
    <row r="20" spans="1:19" x14ac:dyDescent="0.3">
      <c r="A20" t="s">
        <v>124</v>
      </c>
      <c r="B20" t="s">
        <v>187</v>
      </c>
      <c r="C20" t="s">
        <v>21</v>
      </c>
      <c r="D20" t="str">
        <f t="shared" si="0"/>
        <v>A</v>
      </c>
      <c r="F20" t="s">
        <v>6</v>
      </c>
      <c r="G20">
        <v>780</v>
      </c>
      <c r="H20" t="str">
        <f t="shared" si="1"/>
        <v>Узакбаев</v>
      </c>
      <c r="J20" t="e">
        <f t="shared" si="2"/>
        <v>#N/A</v>
      </c>
      <c r="L20" s="52" t="s">
        <v>47</v>
      </c>
      <c r="M20" s="43">
        <v>1568</v>
      </c>
      <c r="N20" t="str">
        <f t="shared" si="3"/>
        <v>Данияров М</v>
      </c>
      <c r="P20" s="51" t="str">
        <f t="shared" si="4"/>
        <v>375 AJI</v>
      </c>
      <c r="R20" t="s">
        <v>82</v>
      </c>
      <c r="S20">
        <v>62</v>
      </c>
    </row>
    <row r="21" spans="1:19" x14ac:dyDescent="0.3">
      <c r="A21" t="s">
        <v>118</v>
      </c>
      <c r="B21" t="s">
        <v>249</v>
      </c>
      <c r="C21" t="s">
        <v>187</v>
      </c>
      <c r="D21" t="str">
        <f t="shared" si="0"/>
        <v>(</v>
      </c>
      <c r="F21" t="s">
        <v>70</v>
      </c>
      <c r="G21">
        <v>183</v>
      </c>
      <c r="H21" t="str">
        <f t="shared" si="1"/>
        <v>(пусто)</v>
      </c>
      <c r="J21" t="str">
        <f t="shared" si="2"/>
        <v>540 AKJ</v>
      </c>
      <c r="L21" s="52" t="s">
        <v>123</v>
      </c>
      <c r="M21" s="43">
        <v>996.03</v>
      </c>
      <c r="N21" t="str">
        <f t="shared" si="3"/>
        <v>(пусто)</v>
      </c>
      <c r="P21" s="51" t="str">
        <f t="shared" si="4"/>
        <v>390 AHU</v>
      </c>
      <c r="R21" t="s">
        <v>67</v>
      </c>
      <c r="S21">
        <v>13</v>
      </c>
    </row>
    <row r="22" spans="1:19" x14ac:dyDescent="0.3">
      <c r="A22" t="s">
        <v>8</v>
      </c>
      <c r="B22" t="s">
        <v>142</v>
      </c>
      <c r="C22" t="s">
        <v>10</v>
      </c>
      <c r="D22" t="str">
        <f t="shared" si="0"/>
        <v>K</v>
      </c>
      <c r="F22" t="s">
        <v>114</v>
      </c>
      <c r="G22">
        <v>1100</v>
      </c>
      <c r="H22" t="str">
        <f t="shared" si="1"/>
        <v>Балгазин</v>
      </c>
      <c r="J22" t="e">
        <f t="shared" si="2"/>
        <v>#N/A</v>
      </c>
      <c r="L22" s="53" t="s">
        <v>169</v>
      </c>
      <c r="M22" s="44">
        <v>300</v>
      </c>
      <c r="N22" s="7" t="e">
        <f t="shared" si="3"/>
        <v>#N/A</v>
      </c>
      <c r="P22" s="51" t="str">
        <f t="shared" si="4"/>
        <v>398 AKN</v>
      </c>
      <c r="R22" t="s">
        <v>159</v>
      </c>
      <c r="S22">
        <v>52</v>
      </c>
    </row>
    <row r="23" spans="1:19" x14ac:dyDescent="0.3">
      <c r="A23" t="s">
        <v>121</v>
      </c>
      <c r="B23" t="s">
        <v>214</v>
      </c>
      <c r="C23" t="s">
        <v>11</v>
      </c>
      <c r="D23" t="str">
        <f t="shared" si="0"/>
        <v>E</v>
      </c>
      <c r="F23" t="s">
        <v>99</v>
      </c>
      <c r="G23">
        <v>1159</v>
      </c>
      <c r="H23" t="str">
        <f t="shared" si="1"/>
        <v xml:space="preserve">Абитов </v>
      </c>
      <c r="J23" t="e">
        <f t="shared" si="2"/>
        <v>#N/A</v>
      </c>
      <c r="L23" s="53" t="s">
        <v>82</v>
      </c>
      <c r="M23" s="44">
        <v>917.04</v>
      </c>
      <c r="N23" s="7" t="e">
        <f t="shared" si="3"/>
        <v>#N/A</v>
      </c>
      <c r="P23" s="51" t="str">
        <f t="shared" si="4"/>
        <v>414 BD</v>
      </c>
      <c r="R23" t="s">
        <v>155</v>
      </c>
      <c r="S23">
        <v>49</v>
      </c>
    </row>
    <row r="24" spans="1:19" x14ac:dyDescent="0.3">
      <c r="A24" t="s">
        <v>106</v>
      </c>
      <c r="B24" t="s">
        <v>205</v>
      </c>
      <c r="C24" t="s">
        <v>105</v>
      </c>
      <c r="D24" t="str">
        <f t="shared" si="0"/>
        <v>V</v>
      </c>
      <c r="F24" t="s">
        <v>113</v>
      </c>
      <c r="G24">
        <v>1353</v>
      </c>
      <c r="H24" t="str">
        <f t="shared" si="1"/>
        <v>БАймурзин</v>
      </c>
      <c r="J24" t="e">
        <f t="shared" si="2"/>
        <v>#N/A</v>
      </c>
      <c r="L24" s="52" t="s">
        <v>67</v>
      </c>
      <c r="M24" s="43">
        <v>800.63</v>
      </c>
      <c r="N24" t="str">
        <f t="shared" si="3"/>
        <v>Макенов</v>
      </c>
      <c r="P24" s="51" t="str">
        <f t="shared" si="4"/>
        <v>462 AHI</v>
      </c>
      <c r="R24" t="s">
        <v>58</v>
      </c>
      <c r="S24">
        <v>63</v>
      </c>
    </row>
    <row r="25" spans="1:19" x14ac:dyDescent="0.3">
      <c r="A25" t="s">
        <v>104</v>
      </c>
      <c r="B25" t="s">
        <v>191</v>
      </c>
      <c r="C25" t="s">
        <v>13</v>
      </c>
      <c r="D25" t="str">
        <f t="shared" si="0"/>
        <v>P</v>
      </c>
      <c r="F25" t="s">
        <v>120</v>
      </c>
      <c r="G25">
        <v>1340</v>
      </c>
      <c r="H25" t="str">
        <f t="shared" si="1"/>
        <v xml:space="preserve">Табанов </v>
      </c>
      <c r="J25" t="e">
        <f t="shared" si="2"/>
        <v>#N/A</v>
      </c>
      <c r="L25" s="53" t="s">
        <v>159</v>
      </c>
      <c r="M25" s="44">
        <v>660.19</v>
      </c>
      <c r="N25" s="7" t="e">
        <f t="shared" si="3"/>
        <v>#N/A</v>
      </c>
      <c r="P25" s="51" t="str">
        <f t="shared" si="4"/>
        <v>464 AIN</v>
      </c>
      <c r="R25" t="s">
        <v>70</v>
      </c>
      <c r="S25">
        <v>119</v>
      </c>
    </row>
    <row r="26" spans="1:19" x14ac:dyDescent="0.3">
      <c r="A26" t="s">
        <v>102</v>
      </c>
      <c r="B26" t="s">
        <v>191</v>
      </c>
      <c r="C26" t="s">
        <v>13</v>
      </c>
      <c r="D26" t="str">
        <f t="shared" si="0"/>
        <v>P</v>
      </c>
      <c r="F26" t="s">
        <v>18</v>
      </c>
      <c r="G26">
        <v>720</v>
      </c>
      <c r="H26" t="str">
        <f t="shared" si="1"/>
        <v>Дуйсенбаев</v>
      </c>
      <c r="J26" t="e">
        <f t="shared" si="2"/>
        <v>#N/A</v>
      </c>
      <c r="L26" s="52" t="s">
        <v>61</v>
      </c>
      <c r="M26" s="43">
        <v>800</v>
      </c>
      <c r="N26" t="str">
        <f t="shared" si="3"/>
        <v>Ерусиз</v>
      </c>
      <c r="P26" s="51" t="e">
        <f t="shared" si="4"/>
        <v>#N/A</v>
      </c>
      <c r="R26" t="s">
        <v>86</v>
      </c>
      <c r="S26">
        <v>86</v>
      </c>
    </row>
    <row r="27" spans="1:19" x14ac:dyDescent="0.3">
      <c r="A27" t="s">
        <v>97</v>
      </c>
      <c r="B27" t="s">
        <v>190</v>
      </c>
      <c r="C27" t="s">
        <v>96</v>
      </c>
      <c r="D27" t="str">
        <f t="shared" si="0"/>
        <v>A</v>
      </c>
      <c r="F27" s="27" t="s">
        <v>129</v>
      </c>
      <c r="G27" s="27">
        <v>147</v>
      </c>
      <c r="H27" s="27" t="e">
        <f t="shared" si="1"/>
        <v>#N/A</v>
      </c>
      <c r="I27" t="s">
        <v>18</v>
      </c>
      <c r="J27" t="e">
        <f t="shared" si="2"/>
        <v>#N/A</v>
      </c>
      <c r="L27" s="52" t="s">
        <v>33</v>
      </c>
      <c r="M27" s="43">
        <v>562.11</v>
      </c>
      <c r="N27" t="str">
        <f t="shared" si="3"/>
        <v>Құлсарин</v>
      </c>
      <c r="P27" s="51" t="e">
        <f t="shared" si="4"/>
        <v>#N/A</v>
      </c>
      <c r="R27" t="s">
        <v>24</v>
      </c>
      <c r="S27">
        <v>48</v>
      </c>
    </row>
    <row r="28" spans="1:19" x14ac:dyDescent="0.3">
      <c r="A28" t="s">
        <v>111</v>
      </c>
      <c r="B28" t="s">
        <v>251</v>
      </c>
      <c r="C28" t="s">
        <v>98</v>
      </c>
      <c r="D28" t="str">
        <f t="shared" si="0"/>
        <v>G</v>
      </c>
      <c r="F28" s="27" t="s">
        <v>126</v>
      </c>
      <c r="G28" s="27">
        <v>579</v>
      </c>
      <c r="H28" s="27" t="e">
        <f t="shared" si="1"/>
        <v>#N/A</v>
      </c>
      <c r="I28" t="s">
        <v>12</v>
      </c>
      <c r="J28" t="e">
        <f t="shared" si="2"/>
        <v>#N/A</v>
      </c>
      <c r="L28" s="52" t="s">
        <v>58</v>
      </c>
      <c r="M28" s="43">
        <v>903.01</v>
      </c>
      <c r="N28" t="str">
        <f t="shared" si="3"/>
        <v>Бисембай</v>
      </c>
      <c r="P28" s="51" t="str">
        <f t="shared" si="4"/>
        <v>529 ALC</v>
      </c>
      <c r="R28" t="s">
        <v>32</v>
      </c>
      <c r="S28">
        <v>140</v>
      </c>
    </row>
    <row r="29" spans="1:19" x14ac:dyDescent="0.3">
      <c r="A29" t="s">
        <v>94</v>
      </c>
      <c r="B29" t="s">
        <v>187</v>
      </c>
      <c r="C29" t="s">
        <v>25</v>
      </c>
      <c r="D29" t="str">
        <f t="shared" si="0"/>
        <v>A</v>
      </c>
      <c r="F29" t="s">
        <v>7</v>
      </c>
      <c r="G29">
        <v>1679</v>
      </c>
      <c r="H29" t="str">
        <f t="shared" si="1"/>
        <v>Шугуров</v>
      </c>
      <c r="J29" t="e">
        <f t="shared" si="2"/>
        <v>#N/A</v>
      </c>
      <c r="L29" s="52" t="s">
        <v>70</v>
      </c>
      <c r="M29" s="43">
        <v>867.16000000000008</v>
      </c>
      <c r="N29" t="str">
        <f t="shared" si="3"/>
        <v>(пусто)</v>
      </c>
      <c r="P29" s="51" t="str">
        <f t="shared" si="4"/>
        <v>540 AKJ</v>
      </c>
      <c r="R29" t="s">
        <v>170</v>
      </c>
      <c r="S29">
        <v>16</v>
      </c>
    </row>
    <row r="30" spans="1:19" x14ac:dyDescent="0.3">
      <c r="A30" t="s">
        <v>93</v>
      </c>
      <c r="B30" t="s">
        <v>187</v>
      </c>
      <c r="C30" t="s">
        <v>25</v>
      </c>
      <c r="D30" t="str">
        <f t="shared" si="0"/>
        <v>A</v>
      </c>
      <c r="F30" s="27" t="s">
        <v>128</v>
      </c>
      <c r="G30" s="27">
        <v>451</v>
      </c>
      <c r="H30" s="27" t="e">
        <f t="shared" si="1"/>
        <v>#N/A</v>
      </c>
      <c r="I30" t="s">
        <v>219</v>
      </c>
      <c r="J30" t="e">
        <f t="shared" si="2"/>
        <v>#N/A</v>
      </c>
      <c r="L30" s="53" t="s">
        <v>86</v>
      </c>
      <c r="M30" s="44">
        <v>923</v>
      </c>
      <c r="N30" s="7" t="e">
        <f t="shared" si="3"/>
        <v>#N/A</v>
      </c>
      <c r="P30" s="51" t="str">
        <f t="shared" si="4"/>
        <v>543 AIJ</v>
      </c>
      <c r="R30" t="s">
        <v>156</v>
      </c>
      <c r="S30">
        <v>19</v>
      </c>
    </row>
    <row r="31" spans="1:19" x14ac:dyDescent="0.3">
      <c r="A31" t="s">
        <v>223</v>
      </c>
      <c r="B31" t="s">
        <v>191</v>
      </c>
      <c r="C31" t="s">
        <v>187</v>
      </c>
      <c r="D31" t="str">
        <f t="shared" si="0"/>
        <v>(</v>
      </c>
      <c r="F31" t="s">
        <v>112</v>
      </c>
      <c r="G31">
        <v>1072</v>
      </c>
      <c r="H31" t="str">
        <f t="shared" si="1"/>
        <v>Хорченко А</v>
      </c>
      <c r="J31" t="e">
        <f t="shared" si="2"/>
        <v>#N/A</v>
      </c>
      <c r="L31" s="52" t="s">
        <v>24</v>
      </c>
      <c r="M31" s="43">
        <v>1193.8</v>
      </c>
      <c r="N31" t="str">
        <f t="shared" si="3"/>
        <v xml:space="preserve">Муханов </v>
      </c>
      <c r="P31" s="51" t="str">
        <f t="shared" si="4"/>
        <v>547 AKX</v>
      </c>
      <c r="R31" t="s">
        <v>173</v>
      </c>
      <c r="S31">
        <v>2</v>
      </c>
    </row>
    <row r="32" spans="1:19" x14ac:dyDescent="0.3">
      <c r="A32" t="s">
        <v>48</v>
      </c>
      <c r="B32" t="s">
        <v>200</v>
      </c>
      <c r="C32" t="s">
        <v>43</v>
      </c>
      <c r="D32" t="str">
        <f t="shared" si="0"/>
        <v>A</v>
      </c>
      <c r="F32" t="s">
        <v>16</v>
      </c>
      <c r="G32">
        <v>584</v>
      </c>
      <c r="H32" t="str">
        <f t="shared" si="1"/>
        <v>Абылхаиров</v>
      </c>
      <c r="J32" t="e">
        <f t="shared" si="2"/>
        <v>#N/A</v>
      </c>
      <c r="L32" s="52" t="s">
        <v>32</v>
      </c>
      <c r="M32" s="43">
        <v>1782.01</v>
      </c>
      <c r="N32" t="str">
        <f t="shared" si="3"/>
        <v>(пусто)</v>
      </c>
      <c r="P32" s="51" t="str">
        <f t="shared" si="4"/>
        <v>563 GK</v>
      </c>
      <c r="R32" t="s">
        <v>171</v>
      </c>
      <c r="S32">
        <v>6</v>
      </c>
    </row>
    <row r="33" spans="1:19" x14ac:dyDescent="0.3">
      <c r="A33" t="s">
        <v>47</v>
      </c>
      <c r="B33" t="s">
        <v>203</v>
      </c>
      <c r="C33" t="s">
        <v>21</v>
      </c>
      <c r="D33" t="str">
        <f t="shared" si="0"/>
        <v>A</v>
      </c>
      <c r="F33" t="s">
        <v>23</v>
      </c>
      <c r="G33">
        <v>107</v>
      </c>
      <c r="H33" t="str">
        <f t="shared" si="1"/>
        <v>(пусто)</v>
      </c>
      <c r="J33" t="str">
        <f t="shared" si="2"/>
        <v>961 AKH</v>
      </c>
      <c r="L33" s="68" t="s">
        <v>184</v>
      </c>
      <c r="M33" s="69">
        <v>350</v>
      </c>
      <c r="N33" s="66" t="e">
        <f t="shared" si="3"/>
        <v>#N/A</v>
      </c>
      <c r="O33" s="66"/>
      <c r="P33" s="70" t="e">
        <f t="shared" si="4"/>
        <v>#N/A</v>
      </c>
      <c r="R33" t="s">
        <v>162</v>
      </c>
      <c r="S33">
        <v>27</v>
      </c>
    </row>
    <row r="34" spans="1:19" x14ac:dyDescent="0.3">
      <c r="A34" t="s">
        <v>19</v>
      </c>
      <c r="B34" t="s">
        <v>210</v>
      </c>
      <c r="C34" t="s">
        <v>13</v>
      </c>
      <c r="D34" t="str">
        <f t="shared" si="0"/>
        <v>P</v>
      </c>
      <c r="F34" s="27" t="s">
        <v>125</v>
      </c>
      <c r="G34" s="27">
        <v>521</v>
      </c>
      <c r="H34" s="27" t="e">
        <f t="shared" si="1"/>
        <v>#N/A</v>
      </c>
      <c r="I34" t="s">
        <v>18</v>
      </c>
      <c r="J34" t="e">
        <f t="shared" si="2"/>
        <v>#N/A</v>
      </c>
      <c r="L34" s="52" t="s">
        <v>44</v>
      </c>
      <c r="M34" s="43">
        <v>969.73</v>
      </c>
      <c r="N34" t="str">
        <f t="shared" si="3"/>
        <v>Кенжегулов</v>
      </c>
      <c r="P34" s="51" t="e">
        <f t="shared" si="4"/>
        <v>#N/A</v>
      </c>
      <c r="R34" t="s">
        <v>76</v>
      </c>
      <c r="S34">
        <v>27</v>
      </c>
    </row>
    <row r="35" spans="1:19" x14ac:dyDescent="0.3">
      <c r="A35" t="s">
        <v>123</v>
      </c>
      <c r="B35" t="s">
        <v>187</v>
      </c>
      <c r="C35" t="s">
        <v>21</v>
      </c>
      <c r="D35" t="str">
        <f t="shared" si="0"/>
        <v>A</v>
      </c>
      <c r="F35" s="66" t="s">
        <v>178</v>
      </c>
      <c r="G35" s="67">
        <v>200</v>
      </c>
      <c r="H35" s="66" t="e">
        <f t="shared" si="1"/>
        <v>#N/A</v>
      </c>
      <c r="I35" s="66"/>
      <c r="J35" s="66" t="e">
        <f t="shared" si="2"/>
        <v>#N/A</v>
      </c>
      <c r="L35" s="53" t="s">
        <v>162</v>
      </c>
      <c r="M35" s="44">
        <v>492.91</v>
      </c>
      <c r="N35" s="7" t="e">
        <f t="shared" si="3"/>
        <v>#N/A</v>
      </c>
      <c r="P35" s="51" t="str">
        <f t="shared" si="4"/>
        <v>692 AIN</v>
      </c>
      <c r="R35" t="s">
        <v>26</v>
      </c>
      <c r="S35">
        <v>11</v>
      </c>
    </row>
    <row r="36" spans="1:19" x14ac:dyDescent="0.3">
      <c r="A36" t="s">
        <v>5</v>
      </c>
      <c r="B36" t="s">
        <v>138</v>
      </c>
      <c r="C36" t="s">
        <v>9</v>
      </c>
      <c r="D36" t="str">
        <f t="shared" si="0"/>
        <v>B</v>
      </c>
      <c r="F36" t="s">
        <v>107</v>
      </c>
      <c r="G36">
        <v>3623</v>
      </c>
      <c r="H36" t="str">
        <f t="shared" si="1"/>
        <v>(пусто)</v>
      </c>
      <c r="J36" t="e">
        <f t="shared" si="2"/>
        <v>#N/A</v>
      </c>
      <c r="L36" s="53" t="s">
        <v>76</v>
      </c>
      <c r="M36" s="44">
        <v>526</v>
      </c>
      <c r="N36" s="7" t="e">
        <f t="shared" si="3"/>
        <v>#N/A</v>
      </c>
      <c r="P36" s="51" t="str">
        <f t="shared" si="4"/>
        <v>701 GH</v>
      </c>
      <c r="R36" t="s">
        <v>79</v>
      </c>
      <c r="S36">
        <v>63</v>
      </c>
    </row>
    <row r="37" spans="1:19" x14ac:dyDescent="0.3">
      <c r="A37" t="s">
        <v>6</v>
      </c>
      <c r="B37" t="s">
        <v>139</v>
      </c>
      <c r="C37" t="s">
        <v>9</v>
      </c>
      <c r="D37" t="str">
        <f t="shared" si="0"/>
        <v>B</v>
      </c>
      <c r="F37" t="s">
        <v>8</v>
      </c>
      <c r="G37">
        <v>587</v>
      </c>
      <c r="H37" t="str">
        <f t="shared" si="1"/>
        <v>Нуспенов</v>
      </c>
      <c r="J37" t="e">
        <f t="shared" si="2"/>
        <v>#N/A</v>
      </c>
      <c r="L37" s="55" t="s">
        <v>26</v>
      </c>
      <c r="M37" s="46">
        <v>411.65</v>
      </c>
      <c r="N37" s="23" t="str">
        <f t="shared" si="3"/>
        <v>(пусто)</v>
      </c>
      <c r="P37" s="51" t="str">
        <f t="shared" si="4"/>
        <v>705 FB</v>
      </c>
      <c r="R37" t="s">
        <v>92</v>
      </c>
      <c r="S37">
        <v>4</v>
      </c>
    </row>
    <row r="38" spans="1:19" x14ac:dyDescent="0.3">
      <c r="A38" t="s">
        <v>110</v>
      </c>
      <c r="B38" t="s">
        <v>252</v>
      </c>
      <c r="C38" t="s">
        <v>105</v>
      </c>
      <c r="D38" t="str">
        <f t="shared" si="0"/>
        <v>V</v>
      </c>
      <c r="F38" s="66" t="s">
        <v>195</v>
      </c>
      <c r="G38" s="67">
        <v>1590</v>
      </c>
      <c r="H38" s="66" t="e">
        <f t="shared" si="1"/>
        <v>#N/A</v>
      </c>
      <c r="I38" s="66"/>
      <c r="J38" s="66" t="e">
        <f t="shared" si="2"/>
        <v>#N/A</v>
      </c>
      <c r="L38" s="68" t="s">
        <v>179</v>
      </c>
      <c r="M38" s="69">
        <v>560.63</v>
      </c>
      <c r="N38" s="66" t="e">
        <f t="shared" si="3"/>
        <v>#N/A</v>
      </c>
      <c r="O38" s="66" t="s">
        <v>26</v>
      </c>
      <c r="P38" s="70" t="e">
        <f t="shared" si="4"/>
        <v>#N/A</v>
      </c>
      <c r="R38" t="s">
        <v>59</v>
      </c>
      <c r="S38">
        <v>4</v>
      </c>
    </row>
    <row r="39" spans="1:19" x14ac:dyDescent="0.3">
      <c r="A39" t="s">
        <v>67</v>
      </c>
      <c r="B39" t="s">
        <v>218</v>
      </c>
      <c r="C39" t="s">
        <v>21</v>
      </c>
      <c r="D39" t="str">
        <f t="shared" si="0"/>
        <v>A</v>
      </c>
      <c r="L39" s="52" t="s">
        <v>92</v>
      </c>
      <c r="M39" s="43">
        <v>525.01</v>
      </c>
      <c r="N39" t="str">
        <f t="shared" si="3"/>
        <v>Игилмалов</v>
      </c>
      <c r="P39" s="51" t="str">
        <f t="shared" si="4"/>
        <v>710 ABL</v>
      </c>
      <c r="R39" t="s">
        <v>34</v>
      </c>
      <c r="S39">
        <v>37</v>
      </c>
    </row>
    <row r="40" spans="1:19" x14ac:dyDescent="0.3">
      <c r="A40" t="s">
        <v>61</v>
      </c>
      <c r="B40" t="s">
        <v>253</v>
      </c>
      <c r="C40" t="s">
        <v>21</v>
      </c>
      <c r="D40" t="str">
        <f t="shared" si="0"/>
        <v>A</v>
      </c>
      <c r="L40" s="52" t="s">
        <v>59</v>
      </c>
      <c r="M40" s="43">
        <v>500</v>
      </c>
      <c r="N40" t="str">
        <f t="shared" si="3"/>
        <v>(пусто)</v>
      </c>
      <c r="P40" s="51" t="str">
        <f t="shared" si="4"/>
        <v>738 AKR</v>
      </c>
      <c r="R40" t="s">
        <v>158</v>
      </c>
      <c r="S40">
        <v>45</v>
      </c>
    </row>
    <row r="41" spans="1:19" x14ac:dyDescent="0.3">
      <c r="A41" s="34" t="s">
        <v>33</v>
      </c>
      <c r="B41" s="34" t="s">
        <v>202</v>
      </c>
      <c r="C41" s="34" t="s">
        <v>21</v>
      </c>
      <c r="D41" t="str">
        <f t="shared" si="0"/>
        <v>A</v>
      </c>
      <c r="L41" s="52" t="s">
        <v>34</v>
      </c>
      <c r="M41" s="43">
        <v>1192.3699999999999</v>
      </c>
      <c r="N41" t="str">
        <f t="shared" si="3"/>
        <v>Гаврилов</v>
      </c>
      <c r="P41" s="51" t="str">
        <f t="shared" si="4"/>
        <v>750 AEB</v>
      </c>
      <c r="R41" t="s">
        <v>174</v>
      </c>
      <c r="S41">
        <v>3</v>
      </c>
    </row>
    <row r="42" spans="1:19" x14ac:dyDescent="0.3">
      <c r="A42" s="34"/>
      <c r="B42" s="34" t="s">
        <v>254</v>
      </c>
      <c r="C42" s="34" t="s">
        <v>25</v>
      </c>
      <c r="D42" t="str">
        <f t="shared" si="0"/>
        <v>A</v>
      </c>
      <c r="L42" s="53" t="s">
        <v>158</v>
      </c>
      <c r="M42" s="44">
        <v>650</v>
      </c>
      <c r="N42" s="7" t="e">
        <f t="shared" si="3"/>
        <v>#N/A</v>
      </c>
      <c r="P42" s="51" t="str">
        <f t="shared" si="4"/>
        <v>764 AGR</v>
      </c>
      <c r="R42" t="s">
        <v>152</v>
      </c>
      <c r="S42">
        <v>122</v>
      </c>
    </row>
    <row r="43" spans="1:19" x14ac:dyDescent="0.3">
      <c r="A43" t="s">
        <v>58</v>
      </c>
      <c r="B43" t="s">
        <v>255</v>
      </c>
      <c r="C43" t="s">
        <v>25</v>
      </c>
      <c r="D43" t="str">
        <f t="shared" si="0"/>
        <v>A</v>
      </c>
      <c r="L43" s="53" t="s">
        <v>152</v>
      </c>
      <c r="M43" s="44">
        <v>1285.04</v>
      </c>
      <c r="N43" s="7" t="e">
        <f t="shared" si="3"/>
        <v>#N/A</v>
      </c>
      <c r="P43" s="51" t="str">
        <f t="shared" si="4"/>
        <v>794 AMB</v>
      </c>
      <c r="R43" t="s">
        <v>164</v>
      </c>
      <c r="S43">
        <v>35</v>
      </c>
    </row>
    <row r="44" spans="1:19" x14ac:dyDescent="0.3">
      <c r="A44" t="s">
        <v>70</v>
      </c>
      <c r="B44" t="s">
        <v>187</v>
      </c>
      <c r="C44" t="s">
        <v>21</v>
      </c>
      <c r="D44" t="str">
        <f t="shared" si="0"/>
        <v>A</v>
      </c>
      <c r="L44" s="53" t="s">
        <v>164</v>
      </c>
      <c r="M44" s="44">
        <v>794.14</v>
      </c>
      <c r="N44" s="7" t="e">
        <f t="shared" si="3"/>
        <v>#N/A</v>
      </c>
      <c r="P44" s="51" t="str">
        <f t="shared" si="4"/>
        <v>796 GH</v>
      </c>
      <c r="R44" t="s">
        <v>166</v>
      </c>
      <c r="S44">
        <v>28</v>
      </c>
    </row>
    <row r="45" spans="1:19" x14ac:dyDescent="0.3">
      <c r="A45" t="s">
        <v>24</v>
      </c>
      <c r="B45" t="s">
        <v>204</v>
      </c>
      <c r="C45" t="s">
        <v>21</v>
      </c>
      <c r="D45" t="str">
        <f t="shared" si="0"/>
        <v>A</v>
      </c>
      <c r="L45" s="53" t="s">
        <v>166</v>
      </c>
      <c r="M45" s="44">
        <v>587.30999999999995</v>
      </c>
      <c r="N45" s="7" t="e">
        <f t="shared" si="3"/>
        <v>#N/A</v>
      </c>
      <c r="P45" s="51" t="str">
        <f t="shared" si="4"/>
        <v>798 GH</v>
      </c>
      <c r="R45" t="s">
        <v>72</v>
      </c>
      <c r="S45">
        <v>35</v>
      </c>
    </row>
    <row r="46" spans="1:19" x14ac:dyDescent="0.3">
      <c r="A46" t="s">
        <v>32</v>
      </c>
      <c r="B46" t="s">
        <v>187</v>
      </c>
      <c r="C46" t="s">
        <v>25</v>
      </c>
      <c r="D46" t="str">
        <f t="shared" si="0"/>
        <v>A</v>
      </c>
      <c r="L46" s="52" t="s">
        <v>72</v>
      </c>
      <c r="M46" s="47">
        <v>547.03</v>
      </c>
      <c r="N46" t="str">
        <f t="shared" si="3"/>
        <v>Женарь</v>
      </c>
      <c r="P46" s="51" t="str">
        <f t="shared" si="4"/>
        <v>805 AIG</v>
      </c>
      <c r="R46" t="s">
        <v>157</v>
      </c>
      <c r="S46">
        <v>52</v>
      </c>
    </row>
    <row r="47" spans="1:19" x14ac:dyDescent="0.3">
      <c r="A47" t="s">
        <v>114</v>
      </c>
      <c r="B47" t="s">
        <v>136</v>
      </c>
      <c r="C47" t="s">
        <v>98</v>
      </c>
      <c r="D47" t="str">
        <f t="shared" si="0"/>
        <v>G</v>
      </c>
      <c r="L47" s="52" t="s">
        <v>28</v>
      </c>
      <c r="M47" s="47">
        <v>824.68999999999994</v>
      </c>
      <c r="N47" t="str">
        <f t="shared" si="3"/>
        <v>(пусто)</v>
      </c>
      <c r="P47" s="51" t="e">
        <f t="shared" si="4"/>
        <v>#N/A</v>
      </c>
      <c r="R47" t="s">
        <v>167</v>
      </c>
      <c r="S47">
        <v>10</v>
      </c>
    </row>
    <row r="48" spans="1:19" x14ac:dyDescent="0.3">
      <c r="A48" t="s">
        <v>99</v>
      </c>
      <c r="B48" t="s">
        <v>134</v>
      </c>
      <c r="C48" t="s">
        <v>98</v>
      </c>
      <c r="D48" t="str">
        <f t="shared" si="0"/>
        <v>G</v>
      </c>
      <c r="L48" s="53" t="s">
        <v>157</v>
      </c>
      <c r="M48" s="44">
        <v>800</v>
      </c>
      <c r="N48" s="7" t="e">
        <f t="shared" si="3"/>
        <v>#N/A</v>
      </c>
      <c r="P48" s="51" t="str">
        <f t="shared" si="4"/>
        <v>859 AHH</v>
      </c>
      <c r="R48" t="s">
        <v>172</v>
      </c>
      <c r="S48">
        <v>1</v>
      </c>
    </row>
    <row r="49" spans="1:19" x14ac:dyDescent="0.3">
      <c r="A49" t="s">
        <v>113</v>
      </c>
      <c r="B49" t="s">
        <v>135</v>
      </c>
      <c r="C49" t="s">
        <v>98</v>
      </c>
      <c r="D49" t="str">
        <f t="shared" si="0"/>
        <v>G</v>
      </c>
      <c r="L49" s="53" t="s">
        <v>167</v>
      </c>
      <c r="M49" s="44">
        <v>645.24</v>
      </c>
      <c r="N49" s="7" t="e">
        <f t="shared" si="3"/>
        <v>#N/A</v>
      </c>
      <c r="P49" s="51" t="str">
        <f t="shared" si="4"/>
        <v>874 AGR</v>
      </c>
      <c r="R49" t="s">
        <v>165</v>
      </c>
      <c r="S49">
        <v>17</v>
      </c>
    </row>
    <row r="50" spans="1:19" x14ac:dyDescent="0.3">
      <c r="A50" t="s">
        <v>44</v>
      </c>
      <c r="B50" t="s">
        <v>257</v>
      </c>
      <c r="C50" t="s">
        <v>21</v>
      </c>
      <c r="D50" t="str">
        <f t="shared" si="0"/>
        <v>A</v>
      </c>
      <c r="L50" s="53" t="s">
        <v>165</v>
      </c>
      <c r="M50" s="44">
        <v>653.01</v>
      </c>
      <c r="N50" s="7" t="e">
        <f t="shared" si="3"/>
        <v>#N/A</v>
      </c>
      <c r="P50" s="51" t="str">
        <f t="shared" si="4"/>
        <v>931 AGT</v>
      </c>
      <c r="R50" t="s">
        <v>175</v>
      </c>
      <c r="S50">
        <v>73</v>
      </c>
    </row>
    <row r="51" spans="1:19" x14ac:dyDescent="0.3">
      <c r="A51" t="s">
        <v>120</v>
      </c>
      <c r="B51" t="s">
        <v>207</v>
      </c>
      <c r="C51" t="s">
        <v>11</v>
      </c>
      <c r="D51" t="str">
        <f t="shared" si="0"/>
        <v>E</v>
      </c>
      <c r="L51" s="53" t="s">
        <v>175</v>
      </c>
      <c r="M51" s="44">
        <v>987.49</v>
      </c>
      <c r="N51" s="7" t="e">
        <f t="shared" si="3"/>
        <v>#N/A</v>
      </c>
      <c r="P51" s="51" t="str">
        <f t="shared" si="4"/>
        <v>943 AJG</v>
      </c>
      <c r="R51" t="s">
        <v>23</v>
      </c>
      <c r="S51">
        <v>46</v>
      </c>
    </row>
    <row r="52" spans="1:19" x14ac:dyDescent="0.3">
      <c r="A52" t="s">
        <v>18</v>
      </c>
      <c r="B52" t="s">
        <v>212</v>
      </c>
      <c r="C52" t="s">
        <v>13</v>
      </c>
      <c r="D52" t="str">
        <f t="shared" si="0"/>
        <v>P</v>
      </c>
      <c r="L52" s="52" t="s">
        <v>23</v>
      </c>
      <c r="M52" s="47">
        <v>1248.49</v>
      </c>
      <c r="N52" t="str">
        <f t="shared" si="3"/>
        <v>(пусто)</v>
      </c>
      <c r="P52" s="51" t="str">
        <f t="shared" si="4"/>
        <v>961 AKH</v>
      </c>
    </row>
    <row r="53" spans="1:19" ht="15" thickBot="1" x14ac:dyDescent="0.35">
      <c r="A53" t="s">
        <v>26</v>
      </c>
      <c r="B53" t="s">
        <v>187</v>
      </c>
      <c r="C53" t="s">
        <v>25</v>
      </c>
      <c r="D53" t="str">
        <f t="shared" si="0"/>
        <v>A</v>
      </c>
      <c r="L53" s="56" t="s">
        <v>114</v>
      </c>
      <c r="M53" s="57">
        <v>200</v>
      </c>
      <c r="N53" s="58" t="str">
        <f>VLOOKUP(L53,$A$4:$B$66,2,0)</f>
        <v>Балгазин</v>
      </c>
      <c r="O53" s="59"/>
      <c r="P53" s="60" t="e">
        <f t="shared" si="4"/>
        <v>#N/A</v>
      </c>
    </row>
    <row r="54" spans="1:19" x14ac:dyDescent="0.3">
      <c r="A54" t="s">
        <v>92</v>
      </c>
      <c r="B54" t="s">
        <v>213</v>
      </c>
      <c r="C54" t="s">
        <v>21</v>
      </c>
      <c r="D54" t="str">
        <f t="shared" si="0"/>
        <v>A</v>
      </c>
    </row>
    <row r="55" spans="1:19" x14ac:dyDescent="0.3">
      <c r="A55" t="s">
        <v>95</v>
      </c>
      <c r="B55" t="s">
        <v>190</v>
      </c>
      <c r="C55" t="s">
        <v>21</v>
      </c>
      <c r="D55" t="str">
        <f t="shared" si="0"/>
        <v>A</v>
      </c>
    </row>
    <row r="56" spans="1:19" x14ac:dyDescent="0.3">
      <c r="A56" t="s">
        <v>59</v>
      </c>
      <c r="B56" t="s">
        <v>187</v>
      </c>
      <c r="C56" t="s">
        <v>21</v>
      </c>
      <c r="D56" t="str">
        <f t="shared" si="0"/>
        <v>A</v>
      </c>
    </row>
    <row r="57" spans="1:19" x14ac:dyDescent="0.3">
      <c r="A57" t="s">
        <v>34</v>
      </c>
      <c r="B57" t="s">
        <v>201</v>
      </c>
      <c r="C57" t="s">
        <v>21</v>
      </c>
      <c r="D57" t="str">
        <f t="shared" si="0"/>
        <v>A</v>
      </c>
    </row>
    <row r="58" spans="1:19" x14ac:dyDescent="0.3">
      <c r="A58" t="s">
        <v>12</v>
      </c>
      <c r="B58" t="s">
        <v>141</v>
      </c>
      <c r="C58" t="s">
        <v>10</v>
      </c>
      <c r="D58" t="str">
        <f t="shared" si="0"/>
        <v>K</v>
      </c>
    </row>
    <row r="59" spans="1:19" x14ac:dyDescent="0.3">
      <c r="A59" t="s">
        <v>7</v>
      </c>
      <c r="B59" t="s">
        <v>137</v>
      </c>
      <c r="C59" t="s">
        <v>9</v>
      </c>
      <c r="D59" t="str">
        <f t="shared" si="0"/>
        <v>B</v>
      </c>
    </row>
    <row r="60" spans="1:19" x14ac:dyDescent="0.3">
      <c r="A60" t="s">
        <v>72</v>
      </c>
      <c r="B60" t="s">
        <v>258</v>
      </c>
      <c r="C60" t="s">
        <v>21</v>
      </c>
      <c r="D60" t="str">
        <f t="shared" si="0"/>
        <v>A</v>
      </c>
    </row>
    <row r="61" spans="1:19" x14ac:dyDescent="0.3">
      <c r="A61" t="s">
        <v>220</v>
      </c>
      <c r="B61" t="s">
        <v>187</v>
      </c>
      <c r="C61" t="s">
        <v>105</v>
      </c>
      <c r="D61" t="str">
        <f t="shared" si="0"/>
        <v>V</v>
      </c>
    </row>
    <row r="62" spans="1:19" x14ac:dyDescent="0.3">
      <c r="A62" t="s">
        <v>219</v>
      </c>
      <c r="B62" t="s">
        <v>215</v>
      </c>
      <c r="C62" t="s">
        <v>105</v>
      </c>
      <c r="D62" t="str">
        <f t="shared" si="0"/>
        <v>V</v>
      </c>
    </row>
    <row r="63" spans="1:19" x14ac:dyDescent="0.3">
      <c r="A63" t="s">
        <v>28</v>
      </c>
      <c r="B63" t="s">
        <v>187</v>
      </c>
      <c r="C63" t="s">
        <v>21</v>
      </c>
      <c r="D63" t="str">
        <f t="shared" si="0"/>
        <v>A</v>
      </c>
    </row>
    <row r="64" spans="1:19" x14ac:dyDescent="0.3">
      <c r="A64" t="s">
        <v>112</v>
      </c>
      <c r="B64" t="s">
        <v>211</v>
      </c>
      <c r="C64" t="s">
        <v>13</v>
      </c>
      <c r="D64" t="str">
        <f t="shared" si="0"/>
        <v>P</v>
      </c>
    </row>
    <row r="65" spans="1:4" x14ac:dyDescent="0.3">
      <c r="A65" t="s">
        <v>16</v>
      </c>
      <c r="B65" t="s">
        <v>191</v>
      </c>
      <c r="C65" t="s">
        <v>13</v>
      </c>
      <c r="D65" t="str">
        <f t="shared" si="0"/>
        <v>P</v>
      </c>
    </row>
    <row r="66" spans="1:4" x14ac:dyDescent="0.3">
      <c r="A66" t="s">
        <v>23</v>
      </c>
      <c r="B66" t="s">
        <v>187</v>
      </c>
      <c r="C66" t="s">
        <v>21</v>
      </c>
      <c r="D66" t="str">
        <f t="shared" si="0"/>
        <v>A</v>
      </c>
    </row>
  </sheetData>
  <autoFilter ref="A3:D66" xr:uid="{17965654-C539-453C-A643-D30DA7FAD530}"/>
  <conditionalFormatting pivot="1" sqref="W4:W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{92E14248-524C-4475-8375-2CFC2091540E}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2E14248-524C-4475-8375-2CFC20915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W4:W11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45C7-BE55-46D0-A7D6-87D81A177FA7}">
  <sheetPr>
    <tabColor rgb="FF00B050"/>
  </sheetPr>
  <dimension ref="A3:H71"/>
  <sheetViews>
    <sheetView topLeftCell="A49" zoomScale="115" zoomScaleNormal="115" workbookViewId="0">
      <selection activeCell="G42" sqref="G42"/>
    </sheetView>
  </sheetViews>
  <sheetFormatPr defaultRowHeight="14.4" x14ac:dyDescent="0.3"/>
  <cols>
    <col min="1" max="1" width="17.5546875" bestFit="1" customWidth="1"/>
    <col min="2" max="2" width="20" bestFit="1" customWidth="1"/>
    <col min="3" max="3" width="10.33203125" bestFit="1" customWidth="1"/>
    <col min="4" max="4" width="8.33203125" bestFit="1" customWidth="1"/>
    <col min="7" max="7" width="20" bestFit="1" customWidth="1"/>
    <col min="8" max="10" width="8.33203125" bestFit="1" customWidth="1"/>
  </cols>
  <sheetData>
    <row r="3" spans="1:8" x14ac:dyDescent="0.3">
      <c r="A3" s="22" t="s">
        <v>198</v>
      </c>
      <c r="G3" s="22" t="s">
        <v>198</v>
      </c>
    </row>
    <row r="4" spans="1:8" x14ac:dyDescent="0.3">
      <c r="A4" s="22" t="s">
        <v>2</v>
      </c>
      <c r="B4" s="22" t="s">
        <v>29</v>
      </c>
      <c r="C4" s="22" t="s">
        <v>1</v>
      </c>
      <c r="D4" t="s">
        <v>247</v>
      </c>
      <c r="G4" s="22" t="s">
        <v>2</v>
      </c>
      <c r="H4" t="s">
        <v>247</v>
      </c>
    </row>
    <row r="5" spans="1:8" x14ac:dyDescent="0.3">
      <c r="A5" t="s">
        <v>46</v>
      </c>
      <c r="B5" t="s">
        <v>248</v>
      </c>
      <c r="C5" t="s">
        <v>25</v>
      </c>
      <c r="D5">
        <v>42.5</v>
      </c>
      <c r="G5" t="s">
        <v>46</v>
      </c>
      <c r="H5">
        <v>42.5</v>
      </c>
    </row>
    <row r="6" spans="1:8" x14ac:dyDescent="0.3">
      <c r="A6" t="s">
        <v>45</v>
      </c>
      <c r="B6" t="s">
        <v>225</v>
      </c>
      <c r="C6" t="s">
        <v>21</v>
      </c>
      <c r="D6">
        <v>30</v>
      </c>
      <c r="G6" t="s">
        <v>45</v>
      </c>
      <c r="H6">
        <v>30</v>
      </c>
    </row>
    <row r="7" spans="1:8" x14ac:dyDescent="0.3">
      <c r="A7" t="s">
        <v>107</v>
      </c>
      <c r="B7" t="s">
        <v>187</v>
      </c>
      <c r="C7" t="s">
        <v>11</v>
      </c>
      <c r="D7">
        <v>87</v>
      </c>
      <c r="G7" t="s">
        <v>107</v>
      </c>
      <c r="H7">
        <v>87</v>
      </c>
    </row>
    <row r="8" spans="1:8" x14ac:dyDescent="0.3">
      <c r="A8" t="s">
        <v>20</v>
      </c>
      <c r="B8" t="s">
        <v>209</v>
      </c>
      <c r="C8" t="s">
        <v>13</v>
      </c>
      <c r="D8">
        <v>120</v>
      </c>
      <c r="G8" t="s">
        <v>20</v>
      </c>
      <c r="H8">
        <v>120</v>
      </c>
    </row>
    <row r="9" spans="1:8" x14ac:dyDescent="0.3">
      <c r="A9" t="s">
        <v>116</v>
      </c>
      <c r="B9" t="s">
        <v>187</v>
      </c>
      <c r="C9" t="s">
        <v>21</v>
      </c>
      <c r="D9">
        <v>20</v>
      </c>
      <c r="G9" t="s">
        <v>116</v>
      </c>
      <c r="H9">
        <v>20</v>
      </c>
    </row>
    <row r="10" spans="1:8" x14ac:dyDescent="0.3">
      <c r="A10" t="s">
        <v>14</v>
      </c>
      <c r="B10" t="s">
        <v>208</v>
      </c>
      <c r="C10" t="s">
        <v>13</v>
      </c>
      <c r="D10">
        <v>130</v>
      </c>
      <c r="G10" t="s">
        <v>14</v>
      </c>
      <c r="H10">
        <v>130</v>
      </c>
    </row>
    <row r="11" spans="1:8" x14ac:dyDescent="0.3">
      <c r="A11" t="s">
        <v>27</v>
      </c>
      <c r="B11" t="s">
        <v>216</v>
      </c>
      <c r="C11" t="s">
        <v>21</v>
      </c>
      <c r="D11">
        <v>100</v>
      </c>
      <c r="G11" t="s">
        <v>27</v>
      </c>
      <c r="H11">
        <v>100</v>
      </c>
    </row>
    <row r="12" spans="1:8" x14ac:dyDescent="0.3">
      <c r="A12" t="s">
        <v>17</v>
      </c>
      <c r="B12" t="s">
        <v>191</v>
      </c>
      <c r="C12" t="s">
        <v>13</v>
      </c>
      <c r="D12">
        <v>150</v>
      </c>
      <c r="G12" t="s">
        <v>17</v>
      </c>
      <c r="H12">
        <v>150</v>
      </c>
    </row>
    <row r="13" spans="1:8" x14ac:dyDescent="0.3">
      <c r="A13" t="s">
        <v>103</v>
      </c>
      <c r="B13" t="s">
        <v>143</v>
      </c>
      <c r="C13" t="s">
        <v>11</v>
      </c>
      <c r="D13">
        <v>130</v>
      </c>
      <c r="G13" t="s">
        <v>103</v>
      </c>
      <c r="H13">
        <v>130</v>
      </c>
    </row>
    <row r="14" spans="1:8" x14ac:dyDescent="0.3">
      <c r="A14" t="s">
        <v>57</v>
      </c>
      <c r="B14" t="s">
        <v>217</v>
      </c>
      <c r="C14" t="s">
        <v>25</v>
      </c>
      <c r="D14">
        <v>100</v>
      </c>
      <c r="G14" t="s">
        <v>57</v>
      </c>
      <c r="H14">
        <v>100</v>
      </c>
    </row>
    <row r="15" spans="1:8" x14ac:dyDescent="0.3">
      <c r="A15" t="s">
        <v>122</v>
      </c>
      <c r="B15" t="s">
        <v>187</v>
      </c>
      <c r="C15" t="s">
        <v>21</v>
      </c>
      <c r="D15">
        <v>10</v>
      </c>
      <c r="G15" t="s">
        <v>122</v>
      </c>
      <c r="H15">
        <v>10</v>
      </c>
    </row>
    <row r="16" spans="1:8" x14ac:dyDescent="0.3">
      <c r="A16" t="s">
        <v>91</v>
      </c>
      <c r="B16" t="s">
        <v>199</v>
      </c>
      <c r="C16" t="s">
        <v>90</v>
      </c>
      <c r="D16">
        <v>120</v>
      </c>
      <c r="G16" t="s">
        <v>91</v>
      </c>
      <c r="H16">
        <v>120</v>
      </c>
    </row>
    <row r="17" spans="1:8" x14ac:dyDescent="0.3">
      <c r="A17" t="s">
        <v>115</v>
      </c>
      <c r="B17" t="s">
        <v>140</v>
      </c>
      <c r="C17" t="s">
        <v>10</v>
      </c>
      <c r="D17">
        <v>120.5</v>
      </c>
      <c r="G17" t="s">
        <v>115</v>
      </c>
      <c r="H17">
        <v>120.5</v>
      </c>
    </row>
    <row r="18" spans="1:8" x14ac:dyDescent="0.3">
      <c r="A18" t="s">
        <v>22</v>
      </c>
      <c r="B18" t="s">
        <v>221</v>
      </c>
      <c r="C18" t="s">
        <v>21</v>
      </c>
      <c r="D18">
        <v>115</v>
      </c>
      <c r="G18" t="s">
        <v>22</v>
      </c>
      <c r="H18">
        <v>115</v>
      </c>
    </row>
    <row r="19" spans="1:8" x14ac:dyDescent="0.3">
      <c r="A19" t="s">
        <v>60</v>
      </c>
      <c r="B19" t="s">
        <v>187</v>
      </c>
      <c r="C19" t="s">
        <v>25</v>
      </c>
      <c r="D19">
        <v>30</v>
      </c>
      <c r="G19" t="s">
        <v>60</v>
      </c>
      <c r="H19">
        <v>30</v>
      </c>
    </row>
    <row r="20" spans="1:8" x14ac:dyDescent="0.3">
      <c r="A20" t="s">
        <v>15</v>
      </c>
      <c r="B20" t="s">
        <v>208</v>
      </c>
      <c r="C20" t="s">
        <v>13</v>
      </c>
      <c r="D20">
        <v>115</v>
      </c>
      <c r="G20" t="s">
        <v>15</v>
      </c>
      <c r="H20">
        <v>115</v>
      </c>
    </row>
    <row r="21" spans="1:8" x14ac:dyDescent="0.3">
      <c r="A21" t="s">
        <v>124</v>
      </c>
      <c r="B21" t="s">
        <v>187</v>
      </c>
      <c r="C21" t="s">
        <v>21</v>
      </c>
      <c r="D21">
        <v>13</v>
      </c>
      <c r="G21" t="s">
        <v>124</v>
      </c>
      <c r="H21">
        <v>13</v>
      </c>
    </row>
    <row r="22" spans="1:8" x14ac:dyDescent="0.3">
      <c r="A22" t="s">
        <v>118</v>
      </c>
      <c r="B22" t="s">
        <v>249</v>
      </c>
      <c r="C22" t="s">
        <v>187</v>
      </c>
      <c r="D22">
        <v>10</v>
      </c>
      <c r="G22" t="s">
        <v>118</v>
      </c>
      <c r="H22">
        <v>10</v>
      </c>
    </row>
    <row r="23" spans="1:8" x14ac:dyDescent="0.3">
      <c r="A23" t="s">
        <v>8</v>
      </c>
      <c r="B23" t="s">
        <v>142</v>
      </c>
      <c r="C23" t="s">
        <v>10</v>
      </c>
      <c r="D23">
        <v>118</v>
      </c>
      <c r="G23" t="s">
        <v>8</v>
      </c>
      <c r="H23">
        <v>118</v>
      </c>
    </row>
    <row r="24" spans="1:8" x14ac:dyDescent="0.3">
      <c r="A24" t="s">
        <v>121</v>
      </c>
      <c r="B24" t="s">
        <v>214</v>
      </c>
      <c r="C24" t="s">
        <v>11</v>
      </c>
      <c r="D24">
        <v>65</v>
      </c>
      <c r="G24" t="s">
        <v>121</v>
      </c>
      <c r="H24">
        <v>65</v>
      </c>
    </row>
    <row r="25" spans="1:8" x14ac:dyDescent="0.3">
      <c r="A25" t="s">
        <v>106</v>
      </c>
      <c r="B25" t="s">
        <v>205</v>
      </c>
      <c r="C25" t="s">
        <v>105</v>
      </c>
      <c r="D25">
        <v>60</v>
      </c>
      <c r="G25" t="s">
        <v>106</v>
      </c>
      <c r="H25">
        <v>60</v>
      </c>
    </row>
    <row r="26" spans="1:8" x14ac:dyDescent="0.3">
      <c r="A26" t="s">
        <v>104</v>
      </c>
      <c r="B26" t="s">
        <v>191</v>
      </c>
      <c r="C26" t="s">
        <v>13</v>
      </c>
      <c r="D26">
        <v>60</v>
      </c>
      <c r="G26" t="s">
        <v>104</v>
      </c>
      <c r="H26">
        <v>60</v>
      </c>
    </row>
    <row r="27" spans="1:8" x14ac:dyDescent="0.3">
      <c r="A27" t="s">
        <v>102</v>
      </c>
      <c r="B27" t="s">
        <v>191</v>
      </c>
      <c r="C27" t="s">
        <v>13</v>
      </c>
      <c r="D27">
        <v>110</v>
      </c>
      <c r="G27" t="s">
        <v>102</v>
      </c>
      <c r="H27">
        <v>110</v>
      </c>
    </row>
    <row r="28" spans="1:8" x14ac:dyDescent="0.3">
      <c r="A28" t="s">
        <v>97</v>
      </c>
      <c r="B28" t="s">
        <v>190</v>
      </c>
      <c r="C28" t="s">
        <v>96</v>
      </c>
      <c r="D28">
        <v>123</v>
      </c>
      <c r="G28" t="s">
        <v>97</v>
      </c>
      <c r="H28">
        <v>123</v>
      </c>
    </row>
    <row r="29" spans="1:8" x14ac:dyDescent="0.3">
      <c r="A29" t="s">
        <v>111</v>
      </c>
      <c r="B29" t="s">
        <v>251</v>
      </c>
      <c r="C29" t="s">
        <v>98</v>
      </c>
      <c r="D29">
        <v>89</v>
      </c>
      <c r="G29" t="s">
        <v>111</v>
      </c>
      <c r="H29">
        <v>89</v>
      </c>
    </row>
    <row r="30" spans="1:8" x14ac:dyDescent="0.3">
      <c r="A30" t="s">
        <v>94</v>
      </c>
      <c r="B30" t="s">
        <v>187</v>
      </c>
      <c r="C30" t="s">
        <v>25</v>
      </c>
      <c r="D30">
        <v>4</v>
      </c>
      <c r="G30" t="s">
        <v>94</v>
      </c>
      <c r="H30">
        <v>4</v>
      </c>
    </row>
    <row r="31" spans="1:8" x14ac:dyDescent="0.3">
      <c r="A31" t="s">
        <v>93</v>
      </c>
      <c r="B31" t="s">
        <v>187</v>
      </c>
      <c r="C31" t="s">
        <v>25</v>
      </c>
      <c r="D31">
        <v>28</v>
      </c>
      <c r="G31" t="s">
        <v>93</v>
      </c>
      <c r="H31">
        <v>28</v>
      </c>
    </row>
    <row r="32" spans="1:8" x14ac:dyDescent="0.3">
      <c r="A32" t="s">
        <v>223</v>
      </c>
      <c r="B32" t="s">
        <v>191</v>
      </c>
      <c r="C32" t="s">
        <v>187</v>
      </c>
      <c r="D32">
        <v>10</v>
      </c>
      <c r="G32" t="s">
        <v>223</v>
      </c>
      <c r="H32">
        <v>10</v>
      </c>
    </row>
    <row r="33" spans="1:8" x14ac:dyDescent="0.3">
      <c r="A33" t="s">
        <v>48</v>
      </c>
      <c r="B33" t="s">
        <v>200</v>
      </c>
      <c r="C33" t="s">
        <v>43</v>
      </c>
      <c r="D33">
        <v>36</v>
      </c>
      <c r="G33" t="s">
        <v>48</v>
      </c>
      <c r="H33">
        <v>36</v>
      </c>
    </row>
    <row r="34" spans="1:8" x14ac:dyDescent="0.3">
      <c r="A34" t="s">
        <v>47</v>
      </c>
      <c r="B34" t="s">
        <v>203</v>
      </c>
      <c r="C34" t="s">
        <v>21</v>
      </c>
      <c r="D34">
        <v>58</v>
      </c>
      <c r="G34" t="s">
        <v>47</v>
      </c>
      <c r="H34">
        <v>58</v>
      </c>
    </row>
    <row r="35" spans="1:8" x14ac:dyDescent="0.3">
      <c r="A35" t="s">
        <v>19</v>
      </c>
      <c r="B35" t="s">
        <v>210</v>
      </c>
      <c r="C35" t="s">
        <v>13</v>
      </c>
      <c r="D35">
        <v>130</v>
      </c>
      <c r="G35" t="s">
        <v>19</v>
      </c>
      <c r="H35">
        <v>130</v>
      </c>
    </row>
    <row r="36" spans="1:8" x14ac:dyDescent="0.3">
      <c r="A36" t="s">
        <v>123</v>
      </c>
      <c r="B36" t="s">
        <v>187</v>
      </c>
      <c r="C36" t="s">
        <v>21</v>
      </c>
      <c r="D36">
        <v>2</v>
      </c>
      <c r="G36" t="s">
        <v>123</v>
      </c>
      <c r="H36">
        <v>2</v>
      </c>
    </row>
    <row r="37" spans="1:8" x14ac:dyDescent="0.3">
      <c r="A37" t="s">
        <v>5</v>
      </c>
      <c r="B37" t="s">
        <v>138</v>
      </c>
      <c r="C37" t="s">
        <v>9</v>
      </c>
      <c r="D37">
        <v>37</v>
      </c>
      <c r="G37" t="s">
        <v>5</v>
      </c>
      <c r="H37">
        <v>37</v>
      </c>
    </row>
    <row r="38" spans="1:8" x14ac:dyDescent="0.3">
      <c r="A38" t="s">
        <v>6</v>
      </c>
      <c r="B38" t="s">
        <v>139</v>
      </c>
      <c r="C38" t="s">
        <v>9</v>
      </c>
      <c r="D38">
        <v>63</v>
      </c>
      <c r="G38" t="s">
        <v>6</v>
      </c>
      <c r="H38">
        <v>63</v>
      </c>
    </row>
    <row r="39" spans="1:8" x14ac:dyDescent="0.3">
      <c r="A39" t="s">
        <v>110</v>
      </c>
      <c r="B39" t="s">
        <v>252</v>
      </c>
      <c r="C39" t="s">
        <v>105</v>
      </c>
      <c r="D39">
        <v>46</v>
      </c>
      <c r="G39" t="s">
        <v>110</v>
      </c>
      <c r="H39">
        <v>46</v>
      </c>
    </row>
    <row r="40" spans="1:8" x14ac:dyDescent="0.3">
      <c r="A40" t="s">
        <v>67</v>
      </c>
      <c r="B40" t="s">
        <v>218</v>
      </c>
      <c r="C40" t="s">
        <v>21</v>
      </c>
      <c r="D40">
        <v>100</v>
      </c>
      <c r="G40" t="s">
        <v>67</v>
      </c>
      <c r="H40">
        <v>100</v>
      </c>
    </row>
    <row r="41" spans="1:8" x14ac:dyDescent="0.3">
      <c r="A41" t="s">
        <v>61</v>
      </c>
      <c r="B41" t="s">
        <v>253</v>
      </c>
      <c r="C41" t="s">
        <v>21</v>
      </c>
      <c r="D41">
        <v>34.75</v>
      </c>
      <c r="G41" t="s">
        <v>61</v>
      </c>
      <c r="H41">
        <v>34.75</v>
      </c>
    </row>
    <row r="42" spans="1:8" x14ac:dyDescent="0.3">
      <c r="A42" s="34" t="s">
        <v>33</v>
      </c>
      <c r="B42" s="34" t="s">
        <v>202</v>
      </c>
      <c r="C42" s="34" t="s">
        <v>21</v>
      </c>
      <c r="D42" s="34">
        <v>50</v>
      </c>
      <c r="G42" s="34" t="s">
        <v>33</v>
      </c>
      <c r="H42">
        <v>100</v>
      </c>
    </row>
    <row r="43" spans="1:8" x14ac:dyDescent="0.3">
      <c r="A43" s="34"/>
      <c r="B43" s="34" t="s">
        <v>254</v>
      </c>
      <c r="C43" s="34" t="s">
        <v>25</v>
      </c>
      <c r="D43" s="34">
        <v>50</v>
      </c>
      <c r="G43" t="s">
        <v>58</v>
      </c>
      <c r="H43">
        <v>40</v>
      </c>
    </row>
    <row r="44" spans="1:8" x14ac:dyDescent="0.3">
      <c r="A44" t="s">
        <v>58</v>
      </c>
      <c r="B44" t="s">
        <v>255</v>
      </c>
      <c r="C44" t="s">
        <v>25</v>
      </c>
      <c r="D44">
        <v>40</v>
      </c>
      <c r="G44" t="s">
        <v>70</v>
      </c>
      <c r="H44">
        <v>17</v>
      </c>
    </row>
    <row r="45" spans="1:8" x14ac:dyDescent="0.3">
      <c r="A45" t="s">
        <v>70</v>
      </c>
      <c r="B45" t="s">
        <v>187</v>
      </c>
      <c r="C45" t="s">
        <v>21</v>
      </c>
      <c r="D45">
        <v>17</v>
      </c>
      <c r="G45" t="s">
        <v>24</v>
      </c>
      <c r="H45">
        <v>120</v>
      </c>
    </row>
    <row r="46" spans="1:8" x14ac:dyDescent="0.3">
      <c r="A46" t="s">
        <v>24</v>
      </c>
      <c r="B46" t="s">
        <v>204</v>
      </c>
      <c r="C46" t="s">
        <v>21</v>
      </c>
      <c r="D46">
        <v>120</v>
      </c>
      <c r="G46" t="s">
        <v>32</v>
      </c>
      <c r="H46">
        <v>60</v>
      </c>
    </row>
    <row r="47" spans="1:8" x14ac:dyDescent="0.3">
      <c r="A47" t="s">
        <v>32</v>
      </c>
      <c r="B47" t="s">
        <v>187</v>
      </c>
      <c r="C47" t="s">
        <v>25</v>
      </c>
      <c r="D47">
        <v>60</v>
      </c>
      <c r="G47" t="s">
        <v>114</v>
      </c>
      <c r="H47">
        <v>100</v>
      </c>
    </row>
    <row r="48" spans="1:8" x14ac:dyDescent="0.3">
      <c r="A48" t="s">
        <v>114</v>
      </c>
      <c r="B48" t="s">
        <v>136</v>
      </c>
      <c r="C48" t="s">
        <v>98</v>
      </c>
      <c r="D48">
        <v>100</v>
      </c>
      <c r="G48" t="s">
        <v>99</v>
      </c>
      <c r="H48">
        <v>118</v>
      </c>
    </row>
    <row r="49" spans="1:8" x14ac:dyDescent="0.3">
      <c r="A49" t="s">
        <v>99</v>
      </c>
      <c r="B49" t="s">
        <v>134</v>
      </c>
      <c r="C49" t="s">
        <v>98</v>
      </c>
      <c r="D49">
        <v>118</v>
      </c>
      <c r="G49" t="s">
        <v>113</v>
      </c>
      <c r="H49">
        <v>80</v>
      </c>
    </row>
    <row r="50" spans="1:8" x14ac:dyDescent="0.3">
      <c r="A50" t="s">
        <v>113</v>
      </c>
      <c r="B50" t="s">
        <v>135</v>
      </c>
      <c r="C50" t="s">
        <v>98</v>
      </c>
      <c r="D50">
        <v>80</v>
      </c>
      <c r="G50" t="s">
        <v>44</v>
      </c>
      <c r="H50">
        <v>120</v>
      </c>
    </row>
    <row r="51" spans="1:8" x14ac:dyDescent="0.3">
      <c r="A51" t="s">
        <v>44</v>
      </c>
      <c r="B51" t="s">
        <v>257</v>
      </c>
      <c r="C51" t="s">
        <v>21</v>
      </c>
      <c r="D51">
        <v>120</v>
      </c>
      <c r="G51" t="s">
        <v>120</v>
      </c>
      <c r="H51">
        <v>70</v>
      </c>
    </row>
    <row r="52" spans="1:8" x14ac:dyDescent="0.3">
      <c r="A52" t="s">
        <v>120</v>
      </c>
      <c r="B52" t="s">
        <v>207</v>
      </c>
      <c r="C52" t="s">
        <v>11</v>
      </c>
      <c r="D52">
        <v>70</v>
      </c>
      <c r="G52" t="s">
        <v>18</v>
      </c>
      <c r="H52">
        <v>120</v>
      </c>
    </row>
    <row r="53" spans="1:8" x14ac:dyDescent="0.3">
      <c r="A53" t="s">
        <v>18</v>
      </c>
      <c r="B53" t="s">
        <v>212</v>
      </c>
      <c r="C53" t="s">
        <v>13</v>
      </c>
      <c r="D53">
        <v>120</v>
      </c>
      <c r="G53" t="s">
        <v>26</v>
      </c>
      <c r="H53">
        <v>40</v>
      </c>
    </row>
    <row r="54" spans="1:8" x14ac:dyDescent="0.3">
      <c r="A54" t="s">
        <v>26</v>
      </c>
      <c r="B54" t="s">
        <v>187</v>
      </c>
      <c r="C54" t="s">
        <v>25</v>
      </c>
      <c r="D54">
        <v>40</v>
      </c>
      <c r="G54" t="s">
        <v>92</v>
      </c>
      <c r="H54">
        <v>120</v>
      </c>
    </row>
    <row r="55" spans="1:8" x14ac:dyDescent="0.3">
      <c r="A55" t="s">
        <v>92</v>
      </c>
      <c r="B55" t="s">
        <v>213</v>
      </c>
      <c r="C55" t="s">
        <v>21</v>
      </c>
      <c r="D55">
        <v>120</v>
      </c>
      <c r="G55" t="s">
        <v>95</v>
      </c>
      <c r="H55">
        <v>121.5</v>
      </c>
    </row>
    <row r="56" spans="1:8" x14ac:dyDescent="0.3">
      <c r="A56" t="s">
        <v>95</v>
      </c>
      <c r="B56" t="s">
        <v>190</v>
      </c>
      <c r="C56" t="s">
        <v>21</v>
      </c>
      <c r="D56">
        <v>121.5</v>
      </c>
      <c r="G56" t="s">
        <v>59</v>
      </c>
      <c r="H56">
        <v>50</v>
      </c>
    </row>
    <row r="57" spans="1:8" x14ac:dyDescent="0.3">
      <c r="A57" t="s">
        <v>59</v>
      </c>
      <c r="B57" t="s">
        <v>187</v>
      </c>
      <c r="C57" t="s">
        <v>21</v>
      </c>
      <c r="D57">
        <v>50</v>
      </c>
      <c r="G57" t="s">
        <v>34</v>
      </c>
      <c r="H57">
        <v>50</v>
      </c>
    </row>
    <row r="58" spans="1:8" x14ac:dyDescent="0.3">
      <c r="A58" t="s">
        <v>34</v>
      </c>
      <c r="B58" t="s">
        <v>201</v>
      </c>
      <c r="C58" t="s">
        <v>21</v>
      </c>
      <c r="D58">
        <v>50</v>
      </c>
      <c r="G58" t="s">
        <v>12</v>
      </c>
      <c r="H58">
        <v>120.5</v>
      </c>
    </row>
    <row r="59" spans="1:8" x14ac:dyDescent="0.3">
      <c r="A59" t="s">
        <v>12</v>
      </c>
      <c r="B59" t="s">
        <v>141</v>
      </c>
      <c r="C59" t="s">
        <v>10</v>
      </c>
      <c r="D59">
        <v>120.5</v>
      </c>
      <c r="G59" t="s">
        <v>7</v>
      </c>
      <c r="H59">
        <v>130</v>
      </c>
    </row>
    <row r="60" spans="1:8" x14ac:dyDescent="0.3">
      <c r="A60" t="s">
        <v>7</v>
      </c>
      <c r="B60" t="s">
        <v>137</v>
      </c>
      <c r="C60" t="s">
        <v>9</v>
      </c>
      <c r="D60">
        <v>130</v>
      </c>
      <c r="G60" t="s">
        <v>72</v>
      </c>
      <c r="H60">
        <v>32</v>
      </c>
    </row>
    <row r="61" spans="1:8" x14ac:dyDescent="0.3">
      <c r="A61" t="s">
        <v>72</v>
      </c>
      <c r="B61" t="s">
        <v>258</v>
      </c>
      <c r="C61" t="s">
        <v>21</v>
      </c>
      <c r="D61">
        <v>32</v>
      </c>
      <c r="G61" t="s">
        <v>220</v>
      </c>
      <c r="H61">
        <v>20</v>
      </c>
    </row>
    <row r="62" spans="1:8" x14ac:dyDescent="0.3">
      <c r="A62" t="s">
        <v>220</v>
      </c>
      <c r="B62" t="s">
        <v>187</v>
      </c>
      <c r="C62" t="s">
        <v>105</v>
      </c>
      <c r="D62">
        <v>20</v>
      </c>
      <c r="G62" t="s">
        <v>219</v>
      </c>
      <c r="H62">
        <v>30</v>
      </c>
    </row>
    <row r="63" spans="1:8" x14ac:dyDescent="0.3">
      <c r="A63" t="s">
        <v>219</v>
      </c>
      <c r="B63" t="s">
        <v>215</v>
      </c>
      <c r="C63" t="s">
        <v>105</v>
      </c>
      <c r="D63">
        <v>30</v>
      </c>
      <c r="G63" t="s">
        <v>28</v>
      </c>
      <c r="H63">
        <v>130</v>
      </c>
    </row>
    <row r="64" spans="1:8" x14ac:dyDescent="0.3">
      <c r="A64" t="s">
        <v>28</v>
      </c>
      <c r="B64" t="s">
        <v>187</v>
      </c>
      <c r="C64" t="s">
        <v>21</v>
      </c>
      <c r="D64">
        <v>130</v>
      </c>
      <c r="G64" t="s">
        <v>112</v>
      </c>
      <c r="H64">
        <v>90</v>
      </c>
    </row>
    <row r="65" spans="1:8" x14ac:dyDescent="0.3">
      <c r="A65" t="s">
        <v>112</v>
      </c>
      <c r="B65" t="s">
        <v>211</v>
      </c>
      <c r="C65" t="s">
        <v>13</v>
      </c>
      <c r="D65">
        <v>90</v>
      </c>
      <c r="G65" t="s">
        <v>16</v>
      </c>
      <c r="H65">
        <v>110</v>
      </c>
    </row>
    <row r="66" spans="1:8" x14ac:dyDescent="0.3">
      <c r="A66" t="s">
        <v>16</v>
      </c>
      <c r="B66" t="s">
        <v>191</v>
      </c>
      <c r="C66" t="s">
        <v>13</v>
      </c>
      <c r="D66">
        <v>110</v>
      </c>
      <c r="G66" t="s">
        <v>23</v>
      </c>
      <c r="H66">
        <v>91</v>
      </c>
    </row>
    <row r="67" spans="1:8" x14ac:dyDescent="0.3">
      <c r="A67" t="s">
        <v>23</v>
      </c>
      <c r="B67" t="s">
        <v>187</v>
      </c>
      <c r="C67" t="s">
        <v>21</v>
      </c>
      <c r="D67">
        <v>91</v>
      </c>
      <c r="G67" t="s">
        <v>109</v>
      </c>
      <c r="H67">
        <v>10</v>
      </c>
    </row>
    <row r="68" spans="1:8" x14ac:dyDescent="0.3">
      <c r="A68" t="s">
        <v>109</v>
      </c>
      <c r="B68" t="s">
        <v>187</v>
      </c>
      <c r="C68" t="s">
        <v>21</v>
      </c>
      <c r="D68">
        <v>10</v>
      </c>
      <c r="G68" t="s">
        <v>187</v>
      </c>
      <c r="H68">
        <v>20</v>
      </c>
    </row>
    <row r="69" spans="1:8" x14ac:dyDescent="0.3">
      <c r="A69" t="s">
        <v>187</v>
      </c>
      <c r="B69" t="s">
        <v>187</v>
      </c>
      <c r="C69" t="s">
        <v>9</v>
      </c>
      <c r="D69">
        <v>10</v>
      </c>
      <c r="G69" t="s">
        <v>188</v>
      </c>
      <c r="H69">
        <v>4726.75</v>
      </c>
    </row>
    <row r="70" spans="1:8" x14ac:dyDescent="0.3">
      <c r="C70" t="s">
        <v>11</v>
      </c>
      <c r="D70">
        <v>10</v>
      </c>
    </row>
    <row r="71" spans="1:8" x14ac:dyDescent="0.3">
      <c r="A71" t="s">
        <v>188</v>
      </c>
      <c r="D71">
        <v>4726.75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70C0"/>
  </sheetPr>
  <dimension ref="A1:M494"/>
  <sheetViews>
    <sheetView topLeftCell="G1" zoomScaleNormal="100" workbookViewId="0">
      <selection activeCell="H168" sqref="G168:H221"/>
    </sheetView>
  </sheetViews>
  <sheetFormatPr defaultRowHeight="14.4" x14ac:dyDescent="0.3"/>
  <cols>
    <col min="1" max="1" width="10.109375" hidden="1" customWidth="1"/>
    <col min="2" max="3" width="0" hidden="1" customWidth="1"/>
    <col min="4" max="4" width="14.5546875" hidden="1" customWidth="1"/>
    <col min="5" max="5" width="11.21875" hidden="1" customWidth="1"/>
    <col min="6" max="6" width="0" hidden="1" customWidth="1"/>
    <col min="7" max="7" width="10.109375" style="1" bestFit="1" customWidth="1"/>
    <col min="10" max="10" width="9.6640625" customWidth="1"/>
    <col min="11" max="11" width="13.21875" bestFit="1" customWidth="1"/>
    <col min="12" max="12" width="0" hidden="1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G1" s="1" t="s">
        <v>0</v>
      </c>
      <c r="H1" t="s">
        <v>4</v>
      </c>
      <c r="I1" t="s">
        <v>1</v>
      </c>
      <c r="J1" t="s">
        <v>2</v>
      </c>
      <c r="K1" t="s">
        <v>29</v>
      </c>
    </row>
    <row r="2" spans="1:12" hidden="1" x14ac:dyDescent="0.3">
      <c r="A2" s="1">
        <v>46204</v>
      </c>
      <c r="B2">
        <v>7</v>
      </c>
      <c r="C2" t="s">
        <v>9</v>
      </c>
      <c r="D2" t="s">
        <v>5</v>
      </c>
      <c r="E2" t="s">
        <v>138</v>
      </c>
      <c r="G2" s="1">
        <v>46204</v>
      </c>
      <c r="H2">
        <v>7</v>
      </c>
      <c r="I2" t="s">
        <v>9</v>
      </c>
      <c r="J2" t="s">
        <v>5</v>
      </c>
      <c r="K2" s="27" t="str">
        <f>E2</f>
        <v>Медыбаев</v>
      </c>
      <c r="L2">
        <f>IF(J2=D2,1,0)</f>
        <v>1</v>
      </c>
    </row>
    <row r="3" spans="1:12" hidden="1" x14ac:dyDescent="0.3">
      <c r="A3" s="1">
        <v>46204</v>
      </c>
      <c r="B3">
        <v>10</v>
      </c>
      <c r="C3" t="s">
        <v>9</v>
      </c>
      <c r="D3" t="s">
        <v>6</v>
      </c>
      <c r="E3" t="s">
        <v>139</v>
      </c>
      <c r="G3" s="1">
        <v>46204</v>
      </c>
      <c r="H3">
        <v>10</v>
      </c>
      <c r="I3" t="s">
        <v>9</v>
      </c>
      <c r="J3" t="s">
        <v>6</v>
      </c>
      <c r="K3" s="27" t="str">
        <f t="shared" ref="K3:K4" si="0">E3</f>
        <v>Узакбаев</v>
      </c>
      <c r="L3">
        <f t="shared" ref="L3:L66" si="1">IF(J3=D3,1,0)</f>
        <v>1</v>
      </c>
    </row>
    <row r="4" spans="1:12" hidden="1" x14ac:dyDescent="0.3">
      <c r="A4" s="1">
        <v>46205</v>
      </c>
      <c r="B4">
        <v>10</v>
      </c>
      <c r="C4" t="s">
        <v>9</v>
      </c>
      <c r="D4" t="s">
        <v>7</v>
      </c>
      <c r="E4" t="s">
        <v>137</v>
      </c>
      <c r="G4" s="1">
        <v>46205</v>
      </c>
      <c r="H4">
        <v>10</v>
      </c>
      <c r="I4" t="s">
        <v>9</v>
      </c>
      <c r="J4" t="s">
        <v>7</v>
      </c>
      <c r="K4" s="27" t="str">
        <f t="shared" si="0"/>
        <v>Шугуров</v>
      </c>
      <c r="L4">
        <f t="shared" si="1"/>
        <v>1</v>
      </c>
    </row>
    <row r="5" spans="1:12" hidden="1" x14ac:dyDescent="0.3">
      <c r="A5" s="1">
        <v>46205</v>
      </c>
      <c r="B5">
        <v>10</v>
      </c>
      <c r="C5" t="s">
        <v>10</v>
      </c>
      <c r="D5" t="s">
        <v>8</v>
      </c>
      <c r="G5" s="1">
        <v>46205</v>
      </c>
      <c r="H5">
        <v>10</v>
      </c>
      <c r="I5" t="s">
        <v>10</v>
      </c>
      <c r="J5" t="s">
        <v>8</v>
      </c>
      <c r="K5" t="s">
        <v>142</v>
      </c>
      <c r="L5">
        <f t="shared" si="1"/>
        <v>1</v>
      </c>
    </row>
    <row r="6" spans="1:12" hidden="1" x14ac:dyDescent="0.3">
      <c r="A6" s="1">
        <v>46205</v>
      </c>
      <c r="B6">
        <v>10</v>
      </c>
      <c r="C6" t="s">
        <v>11</v>
      </c>
      <c r="D6" t="s">
        <v>103</v>
      </c>
      <c r="E6" t="s">
        <v>143</v>
      </c>
      <c r="G6" s="1">
        <v>46205</v>
      </c>
      <c r="H6">
        <v>10</v>
      </c>
      <c r="I6" t="s">
        <v>11</v>
      </c>
      <c r="J6" s="27" t="str">
        <f>D6</f>
        <v>089 AMD</v>
      </c>
      <c r="K6" s="27" t="str">
        <f t="shared" ref="K6:K8" si="2">E6</f>
        <v>Саликов</v>
      </c>
      <c r="L6">
        <f t="shared" si="1"/>
        <v>1</v>
      </c>
    </row>
    <row r="7" spans="1:12" hidden="1" x14ac:dyDescent="0.3">
      <c r="A7" s="1">
        <v>46205</v>
      </c>
      <c r="B7">
        <v>2</v>
      </c>
      <c r="C7" t="s">
        <v>10</v>
      </c>
      <c r="D7" t="s">
        <v>12</v>
      </c>
      <c r="E7" t="s">
        <v>141</v>
      </c>
      <c r="G7" s="1">
        <v>46205</v>
      </c>
      <c r="H7">
        <v>2</v>
      </c>
      <c r="I7" t="s">
        <v>10</v>
      </c>
      <c r="J7" t="s">
        <v>12</v>
      </c>
      <c r="K7" s="27" t="str">
        <f t="shared" si="2"/>
        <v>Бисенов</v>
      </c>
      <c r="L7">
        <f t="shared" si="1"/>
        <v>1</v>
      </c>
    </row>
    <row r="8" spans="1:12" hidden="1" x14ac:dyDescent="0.3">
      <c r="A8" s="1">
        <v>46205</v>
      </c>
      <c r="B8">
        <v>2</v>
      </c>
      <c r="C8" t="s">
        <v>10</v>
      </c>
      <c r="D8" s="23" t="s">
        <v>115</v>
      </c>
      <c r="E8" t="s">
        <v>140</v>
      </c>
      <c r="G8" s="1">
        <v>46205</v>
      </c>
      <c r="H8">
        <v>2</v>
      </c>
      <c r="I8" t="s">
        <v>10</v>
      </c>
      <c r="J8" s="27" t="str">
        <f>D8</f>
        <v>178 AXD</v>
      </c>
      <c r="K8" s="27" t="str">
        <f t="shared" si="2"/>
        <v>Койшыбаев</v>
      </c>
      <c r="L8">
        <f t="shared" si="1"/>
        <v>1</v>
      </c>
    </row>
    <row r="9" spans="1:12" hidden="1" x14ac:dyDescent="0.3">
      <c r="A9" s="1">
        <v>46205</v>
      </c>
      <c r="B9">
        <v>10</v>
      </c>
      <c r="C9" t="s">
        <v>13</v>
      </c>
      <c r="D9" t="s">
        <v>14</v>
      </c>
      <c r="G9" s="1">
        <v>46205</v>
      </c>
      <c r="H9">
        <v>10</v>
      </c>
      <c r="I9" t="s">
        <v>13</v>
      </c>
      <c r="J9" t="s">
        <v>14</v>
      </c>
      <c r="K9" t="s">
        <v>208</v>
      </c>
      <c r="L9">
        <f t="shared" si="1"/>
        <v>1</v>
      </c>
    </row>
    <row r="10" spans="1:12" hidden="1" x14ac:dyDescent="0.3">
      <c r="A10" s="1">
        <v>46205</v>
      </c>
      <c r="B10">
        <v>10</v>
      </c>
      <c r="C10" t="s">
        <v>13</v>
      </c>
      <c r="D10" t="s">
        <v>15</v>
      </c>
      <c r="G10" s="1">
        <v>46205</v>
      </c>
      <c r="H10">
        <v>10</v>
      </c>
      <c r="I10" t="s">
        <v>13</v>
      </c>
      <c r="J10" t="s">
        <v>15</v>
      </c>
      <c r="K10" t="s">
        <v>208</v>
      </c>
      <c r="L10">
        <f t="shared" si="1"/>
        <v>1</v>
      </c>
    </row>
    <row r="11" spans="1:12" hidden="1" x14ac:dyDescent="0.3">
      <c r="A11" s="1">
        <v>46205</v>
      </c>
      <c r="B11">
        <v>10</v>
      </c>
      <c r="C11" t="s">
        <v>13</v>
      </c>
      <c r="D11" t="s">
        <v>16</v>
      </c>
      <c r="E11" t="s">
        <v>191</v>
      </c>
      <c r="G11" s="1">
        <v>46205</v>
      </c>
      <c r="H11">
        <v>10</v>
      </c>
      <c r="I11" t="s">
        <v>13</v>
      </c>
      <c r="J11" t="s">
        <v>16</v>
      </c>
      <c r="K11" s="27" t="str">
        <f>E11</f>
        <v>Абылхаиров</v>
      </c>
      <c r="L11">
        <f t="shared" si="1"/>
        <v>1</v>
      </c>
    </row>
    <row r="12" spans="1:12" hidden="1" x14ac:dyDescent="0.3">
      <c r="A12" s="1">
        <v>46205</v>
      </c>
      <c r="B12">
        <v>10</v>
      </c>
      <c r="C12" t="s">
        <v>13</v>
      </c>
      <c r="D12" t="s">
        <v>17</v>
      </c>
      <c r="G12" s="1">
        <v>46205</v>
      </c>
      <c r="H12">
        <v>10</v>
      </c>
      <c r="I12" t="s">
        <v>13</v>
      </c>
      <c r="J12" t="s">
        <v>17</v>
      </c>
      <c r="K12" t="s">
        <v>191</v>
      </c>
      <c r="L12">
        <f t="shared" si="1"/>
        <v>1</v>
      </c>
    </row>
    <row r="13" spans="1:12" hidden="1" x14ac:dyDescent="0.3">
      <c r="A13" s="1">
        <v>46205</v>
      </c>
      <c r="B13">
        <v>10</v>
      </c>
      <c r="C13" t="s">
        <v>13</v>
      </c>
      <c r="D13" t="s">
        <v>18</v>
      </c>
      <c r="G13" s="1">
        <v>46205</v>
      </c>
      <c r="H13">
        <v>10</v>
      </c>
      <c r="I13" t="s">
        <v>13</v>
      </c>
      <c r="J13" t="s">
        <v>18</v>
      </c>
      <c r="K13" t="s">
        <v>212</v>
      </c>
      <c r="L13">
        <f t="shared" si="1"/>
        <v>1</v>
      </c>
    </row>
    <row r="14" spans="1:12" hidden="1" x14ac:dyDescent="0.3">
      <c r="A14" s="1">
        <v>46205</v>
      </c>
      <c r="B14">
        <v>10</v>
      </c>
      <c r="C14" t="s">
        <v>13</v>
      </c>
      <c r="D14" t="s">
        <v>19</v>
      </c>
      <c r="G14" s="1">
        <v>46205</v>
      </c>
      <c r="H14">
        <v>10</v>
      </c>
      <c r="I14" t="s">
        <v>13</v>
      </c>
      <c r="J14" t="s">
        <v>19</v>
      </c>
      <c r="K14" t="s">
        <v>210</v>
      </c>
      <c r="L14">
        <f t="shared" si="1"/>
        <v>1</v>
      </c>
    </row>
    <row r="15" spans="1:12" hidden="1" x14ac:dyDescent="0.3">
      <c r="A15" s="1">
        <v>46205</v>
      </c>
      <c r="B15">
        <v>10</v>
      </c>
      <c r="C15" t="s">
        <v>13</v>
      </c>
      <c r="D15" t="s">
        <v>20</v>
      </c>
      <c r="G15" s="1">
        <v>46205</v>
      </c>
      <c r="H15">
        <v>10</v>
      </c>
      <c r="I15" t="s">
        <v>13</v>
      </c>
      <c r="J15" t="s">
        <v>20</v>
      </c>
      <c r="K15" t="s">
        <v>209</v>
      </c>
      <c r="L15">
        <f t="shared" si="1"/>
        <v>1</v>
      </c>
    </row>
    <row r="16" spans="1:12" hidden="1" x14ac:dyDescent="0.3">
      <c r="A16" s="1">
        <v>46205</v>
      </c>
      <c r="B16">
        <v>10</v>
      </c>
      <c r="C16" t="s">
        <v>21</v>
      </c>
      <c r="D16" t="s">
        <v>22</v>
      </c>
      <c r="G16" s="1">
        <v>46205</v>
      </c>
      <c r="H16">
        <v>10</v>
      </c>
      <c r="I16" t="s">
        <v>21</v>
      </c>
      <c r="J16" t="s">
        <v>22</v>
      </c>
      <c r="K16" t="s">
        <v>221</v>
      </c>
      <c r="L16">
        <f t="shared" si="1"/>
        <v>1</v>
      </c>
    </row>
    <row r="17" spans="1:12" x14ac:dyDescent="0.3">
      <c r="A17" s="1">
        <v>46205</v>
      </c>
      <c r="B17">
        <v>10</v>
      </c>
      <c r="C17" t="s">
        <v>21</v>
      </c>
      <c r="D17" t="s">
        <v>23</v>
      </c>
      <c r="G17" s="1">
        <v>46205</v>
      </c>
      <c r="H17">
        <v>10</v>
      </c>
      <c r="I17" t="s">
        <v>21</v>
      </c>
      <c r="J17" t="s">
        <v>23</v>
      </c>
      <c r="L17">
        <f t="shared" si="1"/>
        <v>1</v>
      </c>
    </row>
    <row r="18" spans="1:12" hidden="1" x14ac:dyDescent="0.3">
      <c r="A18" s="1">
        <v>46205</v>
      </c>
      <c r="B18">
        <v>10</v>
      </c>
      <c r="C18" t="s">
        <v>21</v>
      </c>
      <c r="D18" t="s">
        <v>24</v>
      </c>
      <c r="G18" s="1">
        <v>46205</v>
      </c>
      <c r="H18">
        <v>10</v>
      </c>
      <c r="I18" t="s">
        <v>21</v>
      </c>
      <c r="J18" t="s">
        <v>24</v>
      </c>
      <c r="K18" t="s">
        <v>204</v>
      </c>
      <c r="L18">
        <f t="shared" si="1"/>
        <v>1</v>
      </c>
    </row>
    <row r="19" spans="1:12" hidden="1" x14ac:dyDescent="0.3">
      <c r="A19" s="1">
        <v>46205</v>
      </c>
      <c r="B19">
        <v>0</v>
      </c>
      <c r="C19" t="s">
        <v>25</v>
      </c>
      <c r="D19" t="s">
        <v>26</v>
      </c>
      <c r="G19" s="1">
        <v>46205</v>
      </c>
      <c r="H19">
        <v>0</v>
      </c>
      <c r="I19" t="s">
        <v>25</v>
      </c>
      <c r="J19" t="s">
        <v>26</v>
      </c>
      <c r="L19">
        <f t="shared" si="1"/>
        <v>1</v>
      </c>
    </row>
    <row r="20" spans="1:12" hidden="1" x14ac:dyDescent="0.3">
      <c r="A20" s="1">
        <v>46205</v>
      </c>
      <c r="B20">
        <v>10</v>
      </c>
      <c r="C20" t="s">
        <v>21</v>
      </c>
      <c r="D20" t="s">
        <v>27</v>
      </c>
      <c r="G20" s="1">
        <v>46205</v>
      </c>
      <c r="H20">
        <v>10</v>
      </c>
      <c r="I20" t="s">
        <v>21</v>
      </c>
      <c r="J20" t="s">
        <v>27</v>
      </c>
      <c r="K20" t="s">
        <v>216</v>
      </c>
      <c r="L20">
        <f t="shared" si="1"/>
        <v>1</v>
      </c>
    </row>
    <row r="21" spans="1:12" hidden="1" x14ac:dyDescent="0.3">
      <c r="A21" s="1">
        <v>46205</v>
      </c>
      <c r="B21">
        <v>10</v>
      </c>
      <c r="C21" t="s">
        <v>21</v>
      </c>
      <c r="D21" t="s">
        <v>28</v>
      </c>
      <c r="G21" s="1">
        <v>46205</v>
      </c>
      <c r="H21">
        <v>10</v>
      </c>
      <c r="I21" t="s">
        <v>21</v>
      </c>
      <c r="J21" t="s">
        <v>28</v>
      </c>
      <c r="L21">
        <f t="shared" si="1"/>
        <v>1</v>
      </c>
    </row>
    <row r="22" spans="1:12" hidden="1" x14ac:dyDescent="0.3">
      <c r="A22" s="1">
        <v>46205</v>
      </c>
      <c r="B22">
        <v>10</v>
      </c>
      <c r="C22" t="s">
        <v>90</v>
      </c>
      <c r="D22" t="s">
        <v>91</v>
      </c>
      <c r="G22" s="1">
        <v>46205</v>
      </c>
      <c r="H22">
        <v>10</v>
      </c>
      <c r="I22" t="s">
        <v>90</v>
      </c>
      <c r="J22" t="s">
        <v>91</v>
      </c>
      <c r="K22" t="s">
        <v>199</v>
      </c>
      <c r="L22">
        <f t="shared" si="1"/>
        <v>1</v>
      </c>
    </row>
    <row r="23" spans="1:12" hidden="1" x14ac:dyDescent="0.3">
      <c r="A23" s="1">
        <v>46205</v>
      </c>
      <c r="B23">
        <v>10</v>
      </c>
      <c r="C23" t="s">
        <v>21</v>
      </c>
      <c r="D23" t="s">
        <v>92</v>
      </c>
      <c r="G23" s="1">
        <v>46205</v>
      </c>
      <c r="H23">
        <v>10</v>
      </c>
      <c r="I23" t="s">
        <v>21</v>
      </c>
      <c r="J23" t="s">
        <v>92</v>
      </c>
      <c r="K23" t="s">
        <v>213</v>
      </c>
      <c r="L23">
        <f t="shared" si="1"/>
        <v>1</v>
      </c>
    </row>
    <row r="24" spans="1:12" hidden="1" x14ac:dyDescent="0.3">
      <c r="A24" s="1">
        <v>46205</v>
      </c>
      <c r="B24">
        <v>10</v>
      </c>
      <c r="C24" t="s">
        <v>25</v>
      </c>
      <c r="D24" t="s">
        <v>32</v>
      </c>
      <c r="G24" s="1">
        <v>46205</v>
      </c>
      <c r="H24">
        <v>10</v>
      </c>
      <c r="I24" t="s">
        <v>25</v>
      </c>
      <c r="J24" t="s">
        <v>32</v>
      </c>
      <c r="L24">
        <f t="shared" si="1"/>
        <v>1</v>
      </c>
    </row>
    <row r="25" spans="1:12" hidden="1" x14ac:dyDescent="0.3">
      <c r="A25" s="1">
        <v>46205</v>
      </c>
      <c r="B25">
        <v>10</v>
      </c>
      <c r="C25" t="s">
        <v>25</v>
      </c>
      <c r="D25" t="s">
        <v>33</v>
      </c>
      <c r="G25" s="1">
        <v>46205</v>
      </c>
      <c r="H25">
        <v>10</v>
      </c>
      <c r="I25" s="23" t="s">
        <v>25</v>
      </c>
      <c r="J25" t="s">
        <v>33</v>
      </c>
      <c r="K25" t="s">
        <v>254</v>
      </c>
      <c r="L25">
        <f t="shared" si="1"/>
        <v>1</v>
      </c>
    </row>
    <row r="26" spans="1:12" hidden="1" x14ac:dyDescent="0.3">
      <c r="A26" s="1">
        <v>46205</v>
      </c>
      <c r="B26">
        <v>10</v>
      </c>
      <c r="C26" t="s">
        <v>21</v>
      </c>
      <c r="D26" t="s">
        <v>44</v>
      </c>
      <c r="G26" s="1">
        <v>46205</v>
      </c>
      <c r="H26">
        <v>10</v>
      </c>
      <c r="I26" t="s">
        <v>21</v>
      </c>
      <c r="J26" t="s">
        <v>44</v>
      </c>
      <c r="K26" t="s">
        <v>257</v>
      </c>
      <c r="L26">
        <f t="shared" si="1"/>
        <v>1</v>
      </c>
    </row>
    <row r="27" spans="1:12" hidden="1" x14ac:dyDescent="0.3">
      <c r="A27" s="1">
        <v>46205</v>
      </c>
      <c r="B27">
        <v>10</v>
      </c>
      <c r="C27" t="s">
        <v>21</v>
      </c>
      <c r="D27" t="s">
        <v>67</v>
      </c>
      <c r="G27" s="1">
        <v>46205</v>
      </c>
      <c r="H27">
        <v>10</v>
      </c>
      <c r="I27" t="s">
        <v>21</v>
      </c>
      <c r="J27" t="s">
        <v>67</v>
      </c>
      <c r="K27" t="s">
        <v>218</v>
      </c>
      <c r="L27">
        <f t="shared" si="1"/>
        <v>1</v>
      </c>
    </row>
    <row r="28" spans="1:12" hidden="1" x14ac:dyDescent="0.3">
      <c r="A28" s="1">
        <v>46205</v>
      </c>
      <c r="B28">
        <v>0</v>
      </c>
      <c r="C28" t="s">
        <v>25</v>
      </c>
      <c r="D28" t="s">
        <v>93</v>
      </c>
      <c r="G28" s="1">
        <v>46205</v>
      </c>
      <c r="H28">
        <v>0</v>
      </c>
      <c r="I28" t="s">
        <v>25</v>
      </c>
      <c r="J28" t="s">
        <v>93</v>
      </c>
      <c r="L28">
        <f t="shared" si="1"/>
        <v>1</v>
      </c>
    </row>
    <row r="29" spans="1:12" hidden="1" x14ac:dyDescent="0.3">
      <c r="A29" s="1">
        <v>46205</v>
      </c>
      <c r="B29">
        <v>10</v>
      </c>
      <c r="C29" t="s">
        <v>21</v>
      </c>
      <c r="D29" t="s">
        <v>45</v>
      </c>
      <c r="G29" s="1">
        <v>46205</v>
      </c>
      <c r="H29">
        <v>10</v>
      </c>
      <c r="I29" t="s">
        <v>21</v>
      </c>
      <c r="J29" t="s">
        <v>45</v>
      </c>
      <c r="K29" t="s">
        <v>225</v>
      </c>
      <c r="L29">
        <f t="shared" si="1"/>
        <v>1</v>
      </c>
    </row>
    <row r="30" spans="1:12" hidden="1" x14ac:dyDescent="0.3">
      <c r="A30" s="1">
        <v>46205</v>
      </c>
      <c r="B30">
        <v>4</v>
      </c>
      <c r="C30" t="s">
        <v>25</v>
      </c>
      <c r="D30" t="s">
        <v>94</v>
      </c>
      <c r="G30" s="1">
        <v>46205</v>
      </c>
      <c r="H30">
        <v>4</v>
      </c>
      <c r="I30" t="s">
        <v>25</v>
      </c>
      <c r="J30" t="s">
        <v>94</v>
      </c>
      <c r="L30">
        <f t="shared" si="1"/>
        <v>1</v>
      </c>
    </row>
    <row r="31" spans="1:12" hidden="1" x14ac:dyDescent="0.3">
      <c r="A31" s="1">
        <v>46205</v>
      </c>
      <c r="B31">
        <v>6</v>
      </c>
      <c r="C31" t="s">
        <v>43</v>
      </c>
      <c r="D31" t="s">
        <v>48</v>
      </c>
      <c r="G31" s="1">
        <v>46205</v>
      </c>
      <c r="H31">
        <v>6</v>
      </c>
      <c r="I31" t="s">
        <v>43</v>
      </c>
      <c r="J31" t="s">
        <v>48</v>
      </c>
      <c r="K31" t="s">
        <v>200</v>
      </c>
      <c r="L31">
        <f t="shared" si="1"/>
        <v>1</v>
      </c>
    </row>
    <row r="32" spans="1:12" hidden="1" x14ac:dyDescent="0.3">
      <c r="A32" s="1">
        <v>46205</v>
      </c>
      <c r="B32">
        <v>6</v>
      </c>
      <c r="D32" t="s">
        <v>47</v>
      </c>
      <c r="G32" s="1">
        <v>46205</v>
      </c>
      <c r="H32">
        <v>6</v>
      </c>
      <c r="I32" t="s">
        <v>21</v>
      </c>
      <c r="J32" t="s">
        <v>47</v>
      </c>
      <c r="K32" t="s">
        <v>203</v>
      </c>
      <c r="L32">
        <f t="shared" si="1"/>
        <v>1</v>
      </c>
    </row>
    <row r="33" spans="1:12" hidden="1" x14ac:dyDescent="0.3">
      <c r="A33" s="1">
        <v>46205</v>
      </c>
      <c r="B33">
        <v>5</v>
      </c>
      <c r="C33" t="s">
        <v>21</v>
      </c>
      <c r="D33" t="s">
        <v>95</v>
      </c>
      <c r="E33" t="s">
        <v>190</v>
      </c>
      <c r="G33" s="1">
        <v>46205</v>
      </c>
      <c r="H33">
        <v>5</v>
      </c>
      <c r="I33" t="s">
        <v>21</v>
      </c>
      <c r="J33" t="s">
        <v>95</v>
      </c>
      <c r="K33" s="27" t="str">
        <f>E33</f>
        <v>Шаубаев</v>
      </c>
      <c r="L33">
        <f t="shared" si="1"/>
        <v>1</v>
      </c>
    </row>
    <row r="34" spans="1:12" hidden="1" x14ac:dyDescent="0.3">
      <c r="A34" s="1">
        <v>46205</v>
      </c>
      <c r="B34">
        <v>5</v>
      </c>
      <c r="C34" t="s">
        <v>96</v>
      </c>
      <c r="D34" t="s">
        <v>97</v>
      </c>
      <c r="G34" s="1">
        <v>46205</v>
      </c>
      <c r="H34">
        <v>5</v>
      </c>
      <c r="I34" t="s">
        <v>96</v>
      </c>
      <c r="J34" t="s">
        <v>97</v>
      </c>
      <c r="K34" t="s">
        <v>190</v>
      </c>
      <c r="L34">
        <f t="shared" si="1"/>
        <v>1</v>
      </c>
    </row>
    <row r="35" spans="1:12" hidden="1" x14ac:dyDescent="0.3">
      <c r="A35" s="1">
        <v>46205</v>
      </c>
      <c r="B35">
        <v>5.5</v>
      </c>
      <c r="C35" t="s">
        <v>21</v>
      </c>
      <c r="D35" t="s">
        <v>46</v>
      </c>
      <c r="G35" s="1">
        <v>46205</v>
      </c>
      <c r="H35">
        <v>5.5</v>
      </c>
      <c r="I35" t="s">
        <v>25</v>
      </c>
      <c r="J35" t="s">
        <v>46</v>
      </c>
      <c r="K35" t="s">
        <v>248</v>
      </c>
      <c r="L35">
        <f t="shared" si="1"/>
        <v>1</v>
      </c>
    </row>
    <row r="36" spans="1:12" hidden="1" x14ac:dyDescent="0.3">
      <c r="A36" s="1">
        <v>46206</v>
      </c>
      <c r="B36">
        <v>9</v>
      </c>
      <c r="C36" t="s">
        <v>98</v>
      </c>
      <c r="D36" t="s">
        <v>99</v>
      </c>
      <c r="E36" t="s">
        <v>134</v>
      </c>
      <c r="G36" s="1">
        <v>46206</v>
      </c>
      <c r="H36">
        <v>9</v>
      </c>
      <c r="I36" t="s">
        <v>98</v>
      </c>
      <c r="J36" t="s">
        <v>99</v>
      </c>
      <c r="K36" s="27" t="str">
        <f t="shared" ref="K36:K40" si="3">E36</f>
        <v xml:space="preserve">Абитов </v>
      </c>
      <c r="L36">
        <f t="shared" si="1"/>
        <v>1</v>
      </c>
    </row>
    <row r="37" spans="1:12" hidden="1" x14ac:dyDescent="0.3">
      <c r="A37" s="1">
        <v>46206</v>
      </c>
      <c r="B37">
        <v>10</v>
      </c>
      <c r="C37" t="s">
        <v>9</v>
      </c>
      <c r="D37" t="s">
        <v>6</v>
      </c>
      <c r="E37" t="s">
        <v>139</v>
      </c>
      <c r="G37" s="1">
        <v>46206</v>
      </c>
      <c r="H37">
        <v>10</v>
      </c>
      <c r="I37" t="s">
        <v>9</v>
      </c>
      <c r="J37" t="s">
        <v>6</v>
      </c>
      <c r="K37" s="27" t="str">
        <f t="shared" si="3"/>
        <v>Узакбаев</v>
      </c>
      <c r="L37">
        <f t="shared" si="1"/>
        <v>1</v>
      </c>
    </row>
    <row r="38" spans="1:12" hidden="1" x14ac:dyDescent="0.3">
      <c r="A38" s="1">
        <v>46206</v>
      </c>
      <c r="B38">
        <v>10</v>
      </c>
      <c r="C38" t="s">
        <v>9</v>
      </c>
      <c r="D38" t="s">
        <v>7</v>
      </c>
      <c r="E38" t="s">
        <v>137</v>
      </c>
      <c r="G38" s="1">
        <v>46206</v>
      </c>
      <c r="H38">
        <v>10</v>
      </c>
      <c r="I38" t="s">
        <v>9</v>
      </c>
      <c r="J38" t="s">
        <v>7</v>
      </c>
      <c r="K38" s="27" t="str">
        <f t="shared" si="3"/>
        <v>Шугуров</v>
      </c>
      <c r="L38">
        <f t="shared" si="1"/>
        <v>1</v>
      </c>
    </row>
    <row r="39" spans="1:12" hidden="1" x14ac:dyDescent="0.3">
      <c r="A39" s="1">
        <v>46206</v>
      </c>
      <c r="B39">
        <v>10</v>
      </c>
      <c r="C39" t="s">
        <v>100</v>
      </c>
      <c r="D39" t="s">
        <v>12</v>
      </c>
      <c r="E39" t="s">
        <v>141</v>
      </c>
      <c r="G39" s="1">
        <v>46206</v>
      </c>
      <c r="H39">
        <v>10</v>
      </c>
      <c r="I39" t="s">
        <v>10</v>
      </c>
      <c r="J39" t="s">
        <v>12</v>
      </c>
      <c r="K39" s="27" t="str">
        <f t="shared" si="3"/>
        <v>Бисенов</v>
      </c>
      <c r="L39">
        <f t="shared" si="1"/>
        <v>1</v>
      </c>
    </row>
    <row r="40" spans="1:12" hidden="1" x14ac:dyDescent="0.3">
      <c r="A40" s="1">
        <v>46206</v>
      </c>
      <c r="B40">
        <v>10</v>
      </c>
      <c r="C40" t="s">
        <v>100</v>
      </c>
      <c r="D40" s="23" t="s">
        <v>115</v>
      </c>
      <c r="E40" t="s">
        <v>140</v>
      </c>
      <c r="G40" s="1">
        <v>46206</v>
      </c>
      <c r="H40">
        <v>10</v>
      </c>
      <c r="I40" t="s">
        <v>10</v>
      </c>
      <c r="J40" s="27" t="str">
        <f>D40</f>
        <v>178 AXD</v>
      </c>
      <c r="K40" s="27" t="str">
        <f t="shared" si="3"/>
        <v>Койшыбаев</v>
      </c>
      <c r="L40">
        <f t="shared" si="1"/>
        <v>1</v>
      </c>
    </row>
    <row r="41" spans="1:12" hidden="1" x14ac:dyDescent="0.3">
      <c r="A41" s="1">
        <v>46206</v>
      </c>
      <c r="B41">
        <v>10</v>
      </c>
      <c r="C41" t="s">
        <v>10</v>
      </c>
      <c r="D41" t="s">
        <v>8</v>
      </c>
      <c r="G41" s="1">
        <v>46206</v>
      </c>
      <c r="H41">
        <v>10</v>
      </c>
      <c r="I41" t="s">
        <v>10</v>
      </c>
      <c r="J41" t="s">
        <v>8</v>
      </c>
      <c r="K41" t="s">
        <v>142</v>
      </c>
      <c r="L41">
        <f t="shared" si="1"/>
        <v>1</v>
      </c>
    </row>
    <row r="42" spans="1:12" hidden="1" x14ac:dyDescent="0.3">
      <c r="A42" s="1">
        <v>46206</v>
      </c>
      <c r="B42">
        <v>10</v>
      </c>
      <c r="C42" t="s">
        <v>13</v>
      </c>
      <c r="D42" t="s">
        <v>14</v>
      </c>
      <c r="G42" s="1">
        <v>46206</v>
      </c>
      <c r="H42">
        <v>10</v>
      </c>
      <c r="I42" t="s">
        <v>13</v>
      </c>
      <c r="J42" t="s">
        <v>14</v>
      </c>
      <c r="K42" t="s">
        <v>208</v>
      </c>
      <c r="L42">
        <f t="shared" si="1"/>
        <v>1</v>
      </c>
    </row>
    <row r="43" spans="1:12" hidden="1" x14ac:dyDescent="0.3">
      <c r="A43" s="1">
        <v>46206</v>
      </c>
      <c r="B43">
        <v>10</v>
      </c>
      <c r="C43" t="s">
        <v>13</v>
      </c>
      <c r="D43" t="s">
        <v>15</v>
      </c>
      <c r="G43" s="1">
        <v>46206</v>
      </c>
      <c r="H43">
        <v>10</v>
      </c>
      <c r="I43" t="s">
        <v>13</v>
      </c>
      <c r="J43" t="s">
        <v>15</v>
      </c>
      <c r="K43" t="s">
        <v>208</v>
      </c>
      <c r="L43">
        <f t="shared" si="1"/>
        <v>1</v>
      </c>
    </row>
    <row r="44" spans="1:12" hidden="1" x14ac:dyDescent="0.3">
      <c r="A44" s="1">
        <v>46206</v>
      </c>
      <c r="B44">
        <v>10</v>
      </c>
      <c r="C44" t="s">
        <v>13</v>
      </c>
      <c r="D44" t="s">
        <v>20</v>
      </c>
      <c r="G44" s="1">
        <v>46206</v>
      </c>
      <c r="H44">
        <v>10</v>
      </c>
      <c r="I44" t="s">
        <v>13</v>
      </c>
      <c r="J44" t="s">
        <v>20</v>
      </c>
      <c r="K44" t="s">
        <v>209</v>
      </c>
      <c r="L44">
        <f t="shared" si="1"/>
        <v>1</v>
      </c>
    </row>
    <row r="45" spans="1:12" hidden="1" x14ac:dyDescent="0.3">
      <c r="A45" s="1">
        <v>46206</v>
      </c>
      <c r="B45">
        <v>10</v>
      </c>
      <c r="C45" t="s">
        <v>13</v>
      </c>
      <c r="D45" t="s">
        <v>19</v>
      </c>
      <c r="G45" s="1">
        <v>46206</v>
      </c>
      <c r="H45">
        <v>10</v>
      </c>
      <c r="I45" t="s">
        <v>13</v>
      </c>
      <c r="J45" t="s">
        <v>19</v>
      </c>
      <c r="K45" t="s">
        <v>210</v>
      </c>
      <c r="L45">
        <f t="shared" si="1"/>
        <v>1</v>
      </c>
    </row>
    <row r="46" spans="1:12" hidden="1" x14ac:dyDescent="0.3">
      <c r="A46" s="1">
        <v>46206</v>
      </c>
      <c r="B46">
        <v>10</v>
      </c>
      <c r="C46" t="s">
        <v>13</v>
      </c>
      <c r="D46" t="s">
        <v>18</v>
      </c>
      <c r="G46" s="1">
        <v>46206</v>
      </c>
      <c r="H46">
        <v>10</v>
      </c>
      <c r="I46" t="s">
        <v>13</v>
      </c>
      <c r="J46" t="s">
        <v>18</v>
      </c>
      <c r="K46" t="s">
        <v>212</v>
      </c>
      <c r="L46">
        <f t="shared" si="1"/>
        <v>1</v>
      </c>
    </row>
    <row r="47" spans="1:12" hidden="1" x14ac:dyDescent="0.3">
      <c r="A47" s="1">
        <v>46206</v>
      </c>
      <c r="B47">
        <v>10</v>
      </c>
      <c r="C47" t="s">
        <v>13</v>
      </c>
      <c r="D47" t="s">
        <v>16</v>
      </c>
      <c r="E47" t="s">
        <v>191</v>
      </c>
      <c r="G47" s="1">
        <v>46206</v>
      </c>
      <c r="H47">
        <v>10</v>
      </c>
      <c r="I47" t="s">
        <v>13</v>
      </c>
      <c r="J47" t="s">
        <v>16</v>
      </c>
      <c r="K47" s="27" t="str">
        <f>E47</f>
        <v>Абылхаиров</v>
      </c>
      <c r="L47">
        <f t="shared" si="1"/>
        <v>1</v>
      </c>
    </row>
    <row r="48" spans="1:12" hidden="1" x14ac:dyDescent="0.3">
      <c r="A48" s="1">
        <v>46206</v>
      </c>
      <c r="B48">
        <v>10</v>
      </c>
      <c r="C48" t="s">
        <v>13</v>
      </c>
      <c r="D48" t="s">
        <v>17</v>
      </c>
      <c r="G48" s="1">
        <v>46206</v>
      </c>
      <c r="H48">
        <v>10</v>
      </c>
      <c r="I48" t="s">
        <v>13</v>
      </c>
      <c r="J48" t="s">
        <v>17</v>
      </c>
      <c r="K48" t="s">
        <v>191</v>
      </c>
      <c r="L48">
        <f t="shared" si="1"/>
        <v>1</v>
      </c>
    </row>
    <row r="49" spans="1:12" hidden="1" x14ac:dyDescent="0.3">
      <c r="A49" s="1" t="s">
        <v>101</v>
      </c>
      <c r="B49">
        <v>10</v>
      </c>
      <c r="C49" t="s">
        <v>13</v>
      </c>
      <c r="D49" t="s">
        <v>102</v>
      </c>
      <c r="G49" s="1" t="s">
        <v>101</v>
      </c>
      <c r="H49">
        <v>10</v>
      </c>
      <c r="I49" t="s">
        <v>13</v>
      </c>
      <c r="J49" t="s">
        <v>102</v>
      </c>
      <c r="K49" t="s">
        <v>191</v>
      </c>
      <c r="L49">
        <f t="shared" si="1"/>
        <v>1</v>
      </c>
    </row>
    <row r="50" spans="1:12" hidden="1" x14ac:dyDescent="0.3">
      <c r="A50" s="1">
        <v>46206</v>
      </c>
      <c r="B50">
        <v>10</v>
      </c>
      <c r="C50" t="s">
        <v>11</v>
      </c>
      <c r="D50" t="s">
        <v>103</v>
      </c>
      <c r="E50" t="s">
        <v>143</v>
      </c>
      <c r="G50" s="1">
        <v>46206</v>
      </c>
      <c r="H50">
        <v>10</v>
      </c>
      <c r="I50" t="s">
        <v>11</v>
      </c>
      <c r="J50" t="s">
        <v>103</v>
      </c>
      <c r="K50" s="27" t="str">
        <f>E50</f>
        <v>Саликов</v>
      </c>
      <c r="L50">
        <f t="shared" si="1"/>
        <v>1</v>
      </c>
    </row>
    <row r="51" spans="1:12" x14ac:dyDescent="0.3">
      <c r="A51" s="1">
        <v>46206</v>
      </c>
      <c r="B51">
        <v>10</v>
      </c>
      <c r="C51" t="s">
        <v>21</v>
      </c>
      <c r="D51" t="s">
        <v>23</v>
      </c>
      <c r="G51" s="1">
        <v>46206</v>
      </c>
      <c r="H51">
        <v>10</v>
      </c>
      <c r="I51" t="s">
        <v>21</v>
      </c>
      <c r="J51" t="s">
        <v>23</v>
      </c>
      <c r="L51">
        <f t="shared" si="1"/>
        <v>1</v>
      </c>
    </row>
    <row r="52" spans="1:12" hidden="1" x14ac:dyDescent="0.3">
      <c r="A52" s="1">
        <v>46206</v>
      </c>
      <c r="B52">
        <v>10</v>
      </c>
      <c r="C52" t="s">
        <v>21</v>
      </c>
      <c r="D52" t="s">
        <v>28</v>
      </c>
      <c r="G52" s="1">
        <v>46206</v>
      </c>
      <c r="H52">
        <v>10</v>
      </c>
      <c r="I52" t="s">
        <v>21</v>
      </c>
      <c r="J52" t="s">
        <v>28</v>
      </c>
      <c r="L52">
        <f t="shared" si="1"/>
        <v>1</v>
      </c>
    </row>
    <row r="53" spans="1:12" hidden="1" x14ac:dyDescent="0.3">
      <c r="A53" s="1">
        <v>46206</v>
      </c>
      <c r="B53">
        <v>10</v>
      </c>
      <c r="C53" t="s">
        <v>25</v>
      </c>
      <c r="D53" t="s">
        <v>33</v>
      </c>
      <c r="G53" s="1">
        <v>46206</v>
      </c>
      <c r="H53">
        <v>10</v>
      </c>
      <c r="I53" s="23" t="s">
        <v>25</v>
      </c>
      <c r="J53" t="s">
        <v>33</v>
      </c>
      <c r="K53" t="s">
        <v>254</v>
      </c>
      <c r="L53">
        <f t="shared" si="1"/>
        <v>1</v>
      </c>
    </row>
    <row r="54" spans="1:12" hidden="1" x14ac:dyDescent="0.3">
      <c r="A54" s="1">
        <v>46206</v>
      </c>
      <c r="B54">
        <v>10</v>
      </c>
      <c r="C54" t="s">
        <v>21</v>
      </c>
      <c r="D54" t="s">
        <v>44</v>
      </c>
      <c r="G54" s="1">
        <v>46206</v>
      </c>
      <c r="H54">
        <v>10</v>
      </c>
      <c r="I54" t="s">
        <v>21</v>
      </c>
      <c r="J54" t="s">
        <v>44</v>
      </c>
      <c r="K54" t="s">
        <v>257</v>
      </c>
      <c r="L54">
        <f t="shared" si="1"/>
        <v>1</v>
      </c>
    </row>
    <row r="55" spans="1:12" hidden="1" x14ac:dyDescent="0.3">
      <c r="A55" s="1">
        <v>46206</v>
      </c>
      <c r="B55">
        <v>6.5</v>
      </c>
      <c r="C55" t="s">
        <v>21</v>
      </c>
      <c r="D55" t="s">
        <v>95</v>
      </c>
      <c r="E55" t="s">
        <v>190</v>
      </c>
      <c r="G55" s="1">
        <v>46206</v>
      </c>
      <c r="H55">
        <v>6.5</v>
      </c>
      <c r="I55" t="s">
        <v>21</v>
      </c>
      <c r="J55" t="s">
        <v>95</v>
      </c>
      <c r="K55" s="27" t="str">
        <f>E55</f>
        <v>Шаубаев</v>
      </c>
      <c r="L55">
        <f t="shared" si="1"/>
        <v>1</v>
      </c>
    </row>
    <row r="56" spans="1:12" hidden="1" x14ac:dyDescent="0.3">
      <c r="A56" s="1">
        <v>46206</v>
      </c>
      <c r="B56">
        <v>10</v>
      </c>
      <c r="C56" t="s">
        <v>21</v>
      </c>
      <c r="D56" t="s">
        <v>27</v>
      </c>
      <c r="G56" s="1">
        <v>46206</v>
      </c>
      <c r="H56">
        <v>10</v>
      </c>
      <c r="I56" t="s">
        <v>21</v>
      </c>
      <c r="J56" t="s">
        <v>27</v>
      </c>
      <c r="K56" t="s">
        <v>216</v>
      </c>
      <c r="L56">
        <f t="shared" si="1"/>
        <v>1</v>
      </c>
    </row>
    <row r="57" spans="1:12" hidden="1" x14ac:dyDescent="0.3">
      <c r="A57" s="1">
        <v>46206</v>
      </c>
      <c r="B57">
        <v>10</v>
      </c>
      <c r="C57" t="s">
        <v>21</v>
      </c>
      <c r="D57" t="s">
        <v>92</v>
      </c>
      <c r="G57" s="1">
        <v>46206</v>
      </c>
      <c r="H57">
        <v>10</v>
      </c>
      <c r="I57" t="s">
        <v>21</v>
      </c>
      <c r="J57" t="s">
        <v>92</v>
      </c>
      <c r="K57" t="s">
        <v>213</v>
      </c>
      <c r="L57">
        <f t="shared" si="1"/>
        <v>1</v>
      </c>
    </row>
    <row r="58" spans="1:12" hidden="1" x14ac:dyDescent="0.3">
      <c r="A58" s="1">
        <v>46206</v>
      </c>
      <c r="B58">
        <v>10</v>
      </c>
      <c r="C58" t="s">
        <v>21</v>
      </c>
      <c r="D58" t="s">
        <v>22</v>
      </c>
      <c r="G58" s="1">
        <v>46206</v>
      </c>
      <c r="H58">
        <v>10</v>
      </c>
      <c r="I58" t="s">
        <v>21</v>
      </c>
      <c r="J58" t="s">
        <v>22</v>
      </c>
      <c r="K58" t="s">
        <v>221</v>
      </c>
      <c r="L58">
        <f t="shared" si="1"/>
        <v>1</v>
      </c>
    </row>
    <row r="59" spans="1:12" hidden="1" x14ac:dyDescent="0.3">
      <c r="A59" s="1">
        <v>46206</v>
      </c>
      <c r="B59">
        <v>10</v>
      </c>
      <c r="C59" t="s">
        <v>21</v>
      </c>
      <c r="D59" t="s">
        <v>45</v>
      </c>
      <c r="G59" s="1">
        <v>46206</v>
      </c>
      <c r="H59">
        <v>10</v>
      </c>
      <c r="I59" t="s">
        <v>21</v>
      </c>
      <c r="J59" t="s">
        <v>45</v>
      </c>
      <c r="K59" t="s">
        <v>225</v>
      </c>
      <c r="L59">
        <f t="shared" si="1"/>
        <v>1</v>
      </c>
    </row>
    <row r="60" spans="1:12" hidden="1" x14ac:dyDescent="0.3">
      <c r="A60" s="1">
        <v>46206</v>
      </c>
      <c r="B60">
        <v>10</v>
      </c>
      <c r="C60" t="s">
        <v>90</v>
      </c>
      <c r="D60" t="s">
        <v>91</v>
      </c>
      <c r="G60" s="1">
        <v>46206</v>
      </c>
      <c r="H60">
        <v>10</v>
      </c>
      <c r="I60" t="s">
        <v>90</v>
      </c>
      <c r="J60" t="s">
        <v>91</v>
      </c>
      <c r="K60" t="s">
        <v>199</v>
      </c>
      <c r="L60">
        <f t="shared" si="1"/>
        <v>1</v>
      </c>
    </row>
    <row r="61" spans="1:12" hidden="1" x14ac:dyDescent="0.3">
      <c r="A61" s="1">
        <v>46206</v>
      </c>
      <c r="B61">
        <v>10</v>
      </c>
      <c r="C61" t="s">
        <v>21</v>
      </c>
      <c r="D61" t="s">
        <v>24</v>
      </c>
      <c r="G61" s="1">
        <v>46206</v>
      </c>
      <c r="H61">
        <v>10</v>
      </c>
      <c r="I61" t="s">
        <v>21</v>
      </c>
      <c r="J61" t="s">
        <v>24</v>
      </c>
      <c r="K61" t="s">
        <v>204</v>
      </c>
      <c r="L61">
        <f t="shared" si="1"/>
        <v>1</v>
      </c>
    </row>
    <row r="62" spans="1:12" hidden="1" x14ac:dyDescent="0.3">
      <c r="A62" s="1">
        <v>46206</v>
      </c>
      <c r="B62">
        <v>10</v>
      </c>
      <c r="C62" t="s">
        <v>21</v>
      </c>
      <c r="D62" t="s">
        <v>67</v>
      </c>
      <c r="G62" s="1">
        <v>46206</v>
      </c>
      <c r="H62">
        <v>10</v>
      </c>
      <c r="I62" t="s">
        <v>21</v>
      </c>
      <c r="J62" t="s">
        <v>67</v>
      </c>
      <c r="K62" t="s">
        <v>218</v>
      </c>
      <c r="L62">
        <f t="shared" si="1"/>
        <v>1</v>
      </c>
    </row>
    <row r="63" spans="1:12" hidden="1" x14ac:dyDescent="0.3">
      <c r="A63" s="1">
        <v>46206</v>
      </c>
      <c r="B63">
        <v>10</v>
      </c>
      <c r="C63" t="s">
        <v>21</v>
      </c>
      <c r="D63" t="s">
        <v>34</v>
      </c>
      <c r="G63" s="1">
        <v>46206</v>
      </c>
      <c r="H63">
        <v>10</v>
      </c>
      <c r="I63" t="s">
        <v>21</v>
      </c>
      <c r="J63" t="s">
        <v>34</v>
      </c>
      <c r="K63" t="s">
        <v>201</v>
      </c>
      <c r="L63">
        <f t="shared" si="1"/>
        <v>1</v>
      </c>
    </row>
    <row r="64" spans="1:12" hidden="1" x14ac:dyDescent="0.3">
      <c r="A64" s="1">
        <v>46206</v>
      </c>
      <c r="B64">
        <v>10</v>
      </c>
      <c r="C64" t="s">
        <v>25</v>
      </c>
      <c r="D64" t="s">
        <v>93</v>
      </c>
      <c r="G64" s="1">
        <v>46206</v>
      </c>
      <c r="H64">
        <v>10</v>
      </c>
      <c r="I64" t="s">
        <v>25</v>
      </c>
      <c r="J64" t="s">
        <v>93</v>
      </c>
      <c r="L64">
        <f t="shared" si="1"/>
        <v>1</v>
      </c>
    </row>
    <row r="65" spans="1:12" hidden="1" x14ac:dyDescent="0.3">
      <c r="A65" s="1">
        <v>46206</v>
      </c>
      <c r="B65">
        <v>10</v>
      </c>
      <c r="C65" t="s">
        <v>21</v>
      </c>
      <c r="D65" t="s">
        <v>59</v>
      </c>
      <c r="G65" s="1">
        <v>46206</v>
      </c>
      <c r="H65">
        <v>10</v>
      </c>
      <c r="I65" t="s">
        <v>21</v>
      </c>
      <c r="J65" t="s">
        <v>59</v>
      </c>
      <c r="L65">
        <f t="shared" si="1"/>
        <v>1</v>
      </c>
    </row>
    <row r="66" spans="1:12" hidden="1" x14ac:dyDescent="0.3">
      <c r="A66" s="1">
        <v>46206</v>
      </c>
      <c r="B66">
        <v>10</v>
      </c>
      <c r="C66" t="s">
        <v>21</v>
      </c>
      <c r="D66" t="s">
        <v>47</v>
      </c>
      <c r="G66" s="1">
        <v>46206</v>
      </c>
      <c r="H66">
        <v>10</v>
      </c>
      <c r="I66" t="s">
        <v>21</v>
      </c>
      <c r="J66" t="s">
        <v>47</v>
      </c>
      <c r="K66" t="s">
        <v>203</v>
      </c>
      <c r="L66">
        <f t="shared" si="1"/>
        <v>1</v>
      </c>
    </row>
    <row r="67" spans="1:12" hidden="1" x14ac:dyDescent="0.3">
      <c r="A67" s="1">
        <v>46206</v>
      </c>
      <c r="B67">
        <v>10</v>
      </c>
      <c r="C67" t="s">
        <v>25</v>
      </c>
      <c r="D67" t="s">
        <v>32</v>
      </c>
      <c r="G67" s="1">
        <v>46206</v>
      </c>
      <c r="H67">
        <v>10</v>
      </c>
      <c r="I67" t="s">
        <v>25</v>
      </c>
      <c r="J67" t="s">
        <v>32</v>
      </c>
      <c r="L67">
        <f t="shared" ref="L67:L130" si="4">IF(J67=D67,1,0)</f>
        <v>1</v>
      </c>
    </row>
    <row r="68" spans="1:12" hidden="1" x14ac:dyDescent="0.3">
      <c r="A68" s="1">
        <v>46206</v>
      </c>
      <c r="B68">
        <v>10</v>
      </c>
      <c r="C68" t="s">
        <v>21</v>
      </c>
      <c r="D68" t="s">
        <v>61</v>
      </c>
      <c r="G68" s="1">
        <v>46206</v>
      </c>
      <c r="H68">
        <v>10</v>
      </c>
      <c r="I68" t="s">
        <v>21</v>
      </c>
      <c r="J68" t="s">
        <v>61</v>
      </c>
      <c r="K68" t="s">
        <v>253</v>
      </c>
      <c r="L68">
        <f t="shared" si="4"/>
        <v>1</v>
      </c>
    </row>
    <row r="69" spans="1:12" hidden="1" x14ac:dyDescent="0.3">
      <c r="A69" s="1">
        <v>46206</v>
      </c>
      <c r="B69">
        <v>10</v>
      </c>
      <c r="C69" t="s">
        <v>96</v>
      </c>
      <c r="D69" t="s">
        <v>97</v>
      </c>
      <c r="G69" s="1">
        <v>46206</v>
      </c>
      <c r="H69">
        <v>10</v>
      </c>
      <c r="I69" t="s">
        <v>96</v>
      </c>
      <c r="J69" t="s">
        <v>97</v>
      </c>
      <c r="K69" t="s">
        <v>190</v>
      </c>
      <c r="L69">
        <f t="shared" si="4"/>
        <v>1</v>
      </c>
    </row>
    <row r="70" spans="1:12" hidden="1" x14ac:dyDescent="0.3">
      <c r="A70" s="1">
        <v>46206</v>
      </c>
      <c r="B70">
        <v>10</v>
      </c>
      <c r="C70" t="s">
        <v>21</v>
      </c>
      <c r="D70" t="s">
        <v>72</v>
      </c>
      <c r="G70" s="1">
        <v>46206</v>
      </c>
      <c r="H70">
        <v>10</v>
      </c>
      <c r="I70" t="s">
        <v>21</v>
      </c>
      <c r="J70" t="s">
        <v>72</v>
      </c>
      <c r="K70" t="s">
        <v>258</v>
      </c>
      <c r="L70">
        <f t="shared" si="4"/>
        <v>1</v>
      </c>
    </row>
    <row r="71" spans="1:12" hidden="1" x14ac:dyDescent="0.3">
      <c r="A71" s="1">
        <v>46206</v>
      </c>
      <c r="B71">
        <v>10</v>
      </c>
      <c r="C71" t="s">
        <v>25</v>
      </c>
      <c r="D71" t="s">
        <v>26</v>
      </c>
      <c r="G71" s="1">
        <v>46206</v>
      </c>
      <c r="H71">
        <v>10</v>
      </c>
      <c r="I71" t="s">
        <v>25</v>
      </c>
      <c r="J71" t="s">
        <v>26</v>
      </c>
      <c r="L71">
        <f t="shared" si="4"/>
        <v>1</v>
      </c>
    </row>
    <row r="72" spans="1:12" hidden="1" x14ac:dyDescent="0.3">
      <c r="A72" s="1">
        <v>46206</v>
      </c>
      <c r="B72">
        <v>7</v>
      </c>
      <c r="C72" t="s">
        <v>21</v>
      </c>
      <c r="D72" t="s">
        <v>46</v>
      </c>
      <c r="G72" s="1">
        <v>46206</v>
      </c>
      <c r="H72">
        <v>7</v>
      </c>
      <c r="I72" t="s">
        <v>25</v>
      </c>
      <c r="J72" t="s">
        <v>46</v>
      </c>
      <c r="K72" t="s">
        <v>248</v>
      </c>
      <c r="L72">
        <f t="shared" si="4"/>
        <v>1</v>
      </c>
    </row>
    <row r="73" spans="1:12" hidden="1" x14ac:dyDescent="0.3">
      <c r="A73" s="1">
        <v>46207</v>
      </c>
      <c r="B73">
        <v>10</v>
      </c>
      <c r="C73" t="s">
        <v>98</v>
      </c>
      <c r="D73" t="s">
        <v>99</v>
      </c>
      <c r="E73" t="s">
        <v>134</v>
      </c>
      <c r="G73" s="1">
        <v>46207</v>
      </c>
      <c r="H73">
        <v>10</v>
      </c>
      <c r="I73" t="s">
        <v>98</v>
      </c>
      <c r="J73" t="s">
        <v>99</v>
      </c>
      <c r="K73" s="27" t="str">
        <f t="shared" ref="K73:K76" si="5">E73</f>
        <v xml:space="preserve">Абитов </v>
      </c>
      <c r="L73">
        <f t="shared" si="4"/>
        <v>1</v>
      </c>
    </row>
    <row r="74" spans="1:12" hidden="1" x14ac:dyDescent="0.3">
      <c r="A74" s="1">
        <v>46207</v>
      </c>
      <c r="B74">
        <v>10</v>
      </c>
      <c r="C74" t="s">
        <v>9</v>
      </c>
      <c r="D74" t="s">
        <v>7</v>
      </c>
      <c r="E74" t="s">
        <v>137</v>
      </c>
      <c r="G74" s="1">
        <v>46207</v>
      </c>
      <c r="H74">
        <v>10</v>
      </c>
      <c r="I74" t="s">
        <v>9</v>
      </c>
      <c r="J74" t="s">
        <v>7</v>
      </c>
      <c r="K74" s="27" t="str">
        <f t="shared" si="5"/>
        <v>Шугуров</v>
      </c>
      <c r="L74">
        <f t="shared" si="4"/>
        <v>1</v>
      </c>
    </row>
    <row r="75" spans="1:12" hidden="1" x14ac:dyDescent="0.3">
      <c r="A75" s="1">
        <v>46207</v>
      </c>
      <c r="B75">
        <v>10</v>
      </c>
      <c r="C75" t="s">
        <v>11</v>
      </c>
      <c r="D75" t="s">
        <v>103</v>
      </c>
      <c r="E75" t="s">
        <v>143</v>
      </c>
      <c r="G75" s="1">
        <v>46207</v>
      </c>
      <c r="H75">
        <v>10</v>
      </c>
      <c r="I75" t="s">
        <v>11</v>
      </c>
      <c r="J75" t="s">
        <v>103</v>
      </c>
      <c r="K75" s="27" t="str">
        <f t="shared" si="5"/>
        <v>Саликов</v>
      </c>
      <c r="L75">
        <f t="shared" si="4"/>
        <v>1</v>
      </c>
    </row>
    <row r="76" spans="1:12" hidden="1" x14ac:dyDescent="0.3">
      <c r="A76" s="1">
        <v>46207</v>
      </c>
      <c r="B76">
        <v>10</v>
      </c>
      <c r="C76" t="s">
        <v>10</v>
      </c>
      <c r="D76" t="s">
        <v>12</v>
      </c>
      <c r="E76" t="s">
        <v>141</v>
      </c>
      <c r="G76" s="1">
        <v>46207</v>
      </c>
      <c r="H76">
        <v>10</v>
      </c>
      <c r="I76" t="s">
        <v>10</v>
      </c>
      <c r="J76" t="s">
        <v>12</v>
      </c>
      <c r="K76" s="27" t="str">
        <f t="shared" si="5"/>
        <v>Бисенов</v>
      </c>
      <c r="L76">
        <f t="shared" si="4"/>
        <v>1</v>
      </c>
    </row>
    <row r="77" spans="1:12" hidden="1" x14ac:dyDescent="0.3">
      <c r="A77" s="1">
        <v>46207</v>
      </c>
      <c r="B77">
        <v>10</v>
      </c>
      <c r="C77" t="s">
        <v>10</v>
      </c>
      <c r="D77" s="23" t="s">
        <v>115</v>
      </c>
      <c r="E77" t="s">
        <v>140</v>
      </c>
      <c r="G77" s="1">
        <v>46207</v>
      </c>
      <c r="H77">
        <v>10</v>
      </c>
      <c r="I77" t="s">
        <v>10</v>
      </c>
      <c r="J77" s="27" t="str">
        <f>D77</f>
        <v>178 AXD</v>
      </c>
      <c r="K77" s="27" t="str">
        <f>E77</f>
        <v>Койшыбаев</v>
      </c>
      <c r="L77">
        <f t="shared" si="4"/>
        <v>1</v>
      </c>
    </row>
    <row r="78" spans="1:12" hidden="1" x14ac:dyDescent="0.3">
      <c r="A78" s="1">
        <v>46207</v>
      </c>
      <c r="B78">
        <v>10</v>
      </c>
      <c r="C78" t="s">
        <v>10</v>
      </c>
      <c r="D78" t="s">
        <v>8</v>
      </c>
      <c r="G78" s="1">
        <v>46207</v>
      </c>
      <c r="H78">
        <v>10</v>
      </c>
      <c r="I78" t="s">
        <v>10</v>
      </c>
      <c r="J78" t="s">
        <v>8</v>
      </c>
      <c r="K78" t="s">
        <v>142</v>
      </c>
      <c r="L78">
        <f t="shared" si="4"/>
        <v>1</v>
      </c>
    </row>
    <row r="79" spans="1:12" hidden="1" x14ac:dyDescent="0.3">
      <c r="A79" s="1">
        <v>46207</v>
      </c>
      <c r="B79">
        <v>10</v>
      </c>
      <c r="C79" t="s">
        <v>13</v>
      </c>
      <c r="D79" t="s">
        <v>14</v>
      </c>
      <c r="G79" s="1">
        <v>46207</v>
      </c>
      <c r="H79">
        <v>10</v>
      </c>
      <c r="I79" t="s">
        <v>13</v>
      </c>
      <c r="J79" t="s">
        <v>14</v>
      </c>
      <c r="K79" t="s">
        <v>208</v>
      </c>
      <c r="L79">
        <f t="shared" si="4"/>
        <v>1</v>
      </c>
    </row>
    <row r="80" spans="1:12" hidden="1" x14ac:dyDescent="0.3">
      <c r="A80" s="1">
        <v>46207</v>
      </c>
      <c r="B80">
        <v>5</v>
      </c>
      <c r="C80" t="s">
        <v>13</v>
      </c>
      <c r="D80" t="s">
        <v>15</v>
      </c>
      <c r="G80" s="1">
        <v>46207</v>
      </c>
      <c r="H80">
        <v>5</v>
      </c>
      <c r="I80" t="s">
        <v>13</v>
      </c>
      <c r="J80" t="s">
        <v>15</v>
      </c>
      <c r="K80" t="s">
        <v>208</v>
      </c>
      <c r="L80">
        <f t="shared" si="4"/>
        <v>1</v>
      </c>
    </row>
    <row r="81" spans="1:12" hidden="1" x14ac:dyDescent="0.3">
      <c r="A81" s="1">
        <v>46207</v>
      </c>
      <c r="B81">
        <v>10</v>
      </c>
      <c r="C81" t="s">
        <v>13</v>
      </c>
      <c r="D81" t="s">
        <v>20</v>
      </c>
      <c r="G81" s="1">
        <v>46207</v>
      </c>
      <c r="H81">
        <v>10</v>
      </c>
      <c r="I81" t="s">
        <v>13</v>
      </c>
      <c r="J81" t="s">
        <v>20</v>
      </c>
      <c r="K81" t="s">
        <v>209</v>
      </c>
      <c r="L81">
        <f t="shared" si="4"/>
        <v>1</v>
      </c>
    </row>
    <row r="82" spans="1:12" hidden="1" x14ac:dyDescent="0.3">
      <c r="A82" s="1">
        <v>46207</v>
      </c>
      <c r="B82">
        <v>10</v>
      </c>
      <c r="C82" t="s">
        <v>13</v>
      </c>
      <c r="D82" t="s">
        <v>19</v>
      </c>
      <c r="G82" s="1">
        <v>46207</v>
      </c>
      <c r="H82">
        <v>10</v>
      </c>
      <c r="I82" t="s">
        <v>13</v>
      </c>
      <c r="J82" t="s">
        <v>19</v>
      </c>
      <c r="K82" t="s">
        <v>210</v>
      </c>
      <c r="L82">
        <f t="shared" si="4"/>
        <v>1</v>
      </c>
    </row>
    <row r="83" spans="1:12" hidden="1" x14ac:dyDescent="0.3">
      <c r="A83" s="1">
        <v>46207</v>
      </c>
      <c r="B83">
        <v>10</v>
      </c>
      <c r="C83" t="s">
        <v>13</v>
      </c>
      <c r="D83" t="s">
        <v>18</v>
      </c>
      <c r="G83" s="1">
        <v>46207</v>
      </c>
      <c r="H83">
        <v>10</v>
      </c>
      <c r="I83" t="s">
        <v>13</v>
      </c>
      <c r="J83" t="s">
        <v>18</v>
      </c>
      <c r="K83" t="s">
        <v>212</v>
      </c>
      <c r="L83">
        <f t="shared" si="4"/>
        <v>1</v>
      </c>
    </row>
    <row r="84" spans="1:12" hidden="1" x14ac:dyDescent="0.3">
      <c r="A84" s="1">
        <v>46207</v>
      </c>
      <c r="B84">
        <v>10</v>
      </c>
      <c r="C84" t="s">
        <v>13</v>
      </c>
      <c r="D84" t="s">
        <v>16</v>
      </c>
      <c r="E84" t="s">
        <v>191</v>
      </c>
      <c r="G84" s="1">
        <v>46207</v>
      </c>
      <c r="H84">
        <v>10</v>
      </c>
      <c r="I84" t="s">
        <v>13</v>
      </c>
      <c r="J84" t="s">
        <v>16</v>
      </c>
      <c r="K84" s="27" t="str">
        <f>E84</f>
        <v>Абылхаиров</v>
      </c>
      <c r="L84">
        <f t="shared" si="4"/>
        <v>1</v>
      </c>
    </row>
    <row r="85" spans="1:12" hidden="1" x14ac:dyDescent="0.3">
      <c r="A85" s="1">
        <v>46207</v>
      </c>
      <c r="B85">
        <v>10</v>
      </c>
      <c r="C85" t="s">
        <v>13</v>
      </c>
      <c r="D85" t="s">
        <v>17</v>
      </c>
      <c r="G85" s="1">
        <v>46207</v>
      </c>
      <c r="H85">
        <v>10</v>
      </c>
      <c r="I85" t="s">
        <v>13</v>
      </c>
      <c r="J85" t="s">
        <v>17</v>
      </c>
      <c r="K85" t="s">
        <v>191</v>
      </c>
      <c r="L85">
        <f t="shared" si="4"/>
        <v>1</v>
      </c>
    </row>
    <row r="86" spans="1:12" hidden="1" x14ac:dyDescent="0.3">
      <c r="A86" s="1">
        <v>46207</v>
      </c>
      <c r="B86">
        <v>10</v>
      </c>
      <c r="C86" t="s">
        <v>13</v>
      </c>
      <c r="D86" t="s">
        <v>102</v>
      </c>
      <c r="G86" s="1">
        <v>46207</v>
      </c>
      <c r="H86">
        <v>10</v>
      </c>
      <c r="I86" t="s">
        <v>13</v>
      </c>
      <c r="J86" t="s">
        <v>102</v>
      </c>
      <c r="K86" t="s">
        <v>191</v>
      </c>
      <c r="L86">
        <f t="shared" si="4"/>
        <v>1</v>
      </c>
    </row>
    <row r="87" spans="1:12" hidden="1" x14ac:dyDescent="0.3">
      <c r="A87" s="1">
        <v>46207</v>
      </c>
      <c r="B87">
        <v>10</v>
      </c>
      <c r="C87" t="s">
        <v>13</v>
      </c>
      <c r="D87" t="s">
        <v>104</v>
      </c>
      <c r="G87" s="1">
        <v>46207</v>
      </c>
      <c r="H87">
        <v>10</v>
      </c>
      <c r="I87" t="s">
        <v>13</v>
      </c>
      <c r="J87" t="s">
        <v>104</v>
      </c>
      <c r="K87" t="s">
        <v>191</v>
      </c>
      <c r="L87">
        <f t="shared" si="4"/>
        <v>1</v>
      </c>
    </row>
    <row r="88" spans="1:12" hidden="1" x14ac:dyDescent="0.3">
      <c r="A88" s="1">
        <v>46207</v>
      </c>
      <c r="B88">
        <v>10</v>
      </c>
      <c r="C88" t="s">
        <v>21</v>
      </c>
      <c r="D88" t="s">
        <v>45</v>
      </c>
      <c r="G88" s="1">
        <v>46207</v>
      </c>
      <c r="H88">
        <v>10</v>
      </c>
      <c r="I88" t="s">
        <v>21</v>
      </c>
      <c r="J88" t="s">
        <v>45</v>
      </c>
      <c r="K88" t="s">
        <v>225</v>
      </c>
      <c r="L88">
        <f t="shared" si="4"/>
        <v>1</v>
      </c>
    </row>
    <row r="89" spans="1:12" hidden="1" x14ac:dyDescent="0.3">
      <c r="A89" s="1">
        <v>46207</v>
      </c>
      <c r="B89">
        <v>10</v>
      </c>
      <c r="C89" t="s">
        <v>21</v>
      </c>
      <c r="D89" t="s">
        <v>22</v>
      </c>
      <c r="G89" s="1">
        <v>46207</v>
      </c>
      <c r="H89">
        <v>10</v>
      </c>
      <c r="I89" t="s">
        <v>21</v>
      </c>
      <c r="J89" t="s">
        <v>22</v>
      </c>
      <c r="K89" t="s">
        <v>221</v>
      </c>
      <c r="L89">
        <f t="shared" si="4"/>
        <v>1</v>
      </c>
    </row>
    <row r="90" spans="1:12" hidden="1" x14ac:dyDescent="0.3">
      <c r="A90" s="1">
        <v>46207</v>
      </c>
      <c r="B90">
        <v>10</v>
      </c>
      <c r="C90" t="s">
        <v>21</v>
      </c>
      <c r="D90" t="s">
        <v>92</v>
      </c>
      <c r="G90" s="1">
        <v>46207</v>
      </c>
      <c r="H90">
        <v>10</v>
      </c>
      <c r="I90" t="s">
        <v>21</v>
      </c>
      <c r="J90" t="s">
        <v>92</v>
      </c>
      <c r="K90" t="s">
        <v>213</v>
      </c>
      <c r="L90">
        <f t="shared" si="4"/>
        <v>1</v>
      </c>
    </row>
    <row r="91" spans="1:12" hidden="1" x14ac:dyDescent="0.3">
      <c r="A91" s="1">
        <v>46207</v>
      </c>
      <c r="B91">
        <v>10</v>
      </c>
      <c r="C91" t="s">
        <v>21</v>
      </c>
      <c r="D91" t="s">
        <v>67</v>
      </c>
      <c r="G91" s="1">
        <v>46207</v>
      </c>
      <c r="H91">
        <v>10</v>
      </c>
      <c r="I91" t="s">
        <v>21</v>
      </c>
      <c r="J91" t="s">
        <v>67</v>
      </c>
      <c r="K91" t="s">
        <v>218</v>
      </c>
      <c r="L91">
        <f t="shared" si="4"/>
        <v>1</v>
      </c>
    </row>
    <row r="92" spans="1:12" hidden="1" x14ac:dyDescent="0.3">
      <c r="A92" s="1">
        <v>46207</v>
      </c>
      <c r="B92">
        <v>10</v>
      </c>
      <c r="C92" t="s">
        <v>90</v>
      </c>
      <c r="D92" t="s">
        <v>91</v>
      </c>
      <c r="G92" s="1">
        <v>46207</v>
      </c>
      <c r="H92">
        <v>10</v>
      </c>
      <c r="I92" t="s">
        <v>90</v>
      </c>
      <c r="J92" t="s">
        <v>91</v>
      </c>
      <c r="K92" t="s">
        <v>199</v>
      </c>
      <c r="L92">
        <f t="shared" si="4"/>
        <v>1</v>
      </c>
    </row>
    <row r="93" spans="1:12" hidden="1" x14ac:dyDescent="0.3">
      <c r="A93" s="1">
        <v>46207</v>
      </c>
      <c r="B93">
        <v>10</v>
      </c>
      <c r="C93" t="s">
        <v>25</v>
      </c>
      <c r="D93" t="s">
        <v>93</v>
      </c>
      <c r="G93" s="1">
        <v>46207</v>
      </c>
      <c r="H93">
        <v>10</v>
      </c>
      <c r="I93" t="s">
        <v>25</v>
      </c>
      <c r="J93" t="s">
        <v>93</v>
      </c>
      <c r="L93">
        <f t="shared" si="4"/>
        <v>1</v>
      </c>
    </row>
    <row r="94" spans="1:12" hidden="1" x14ac:dyDescent="0.3">
      <c r="A94" s="1">
        <v>46207</v>
      </c>
      <c r="B94">
        <v>10</v>
      </c>
      <c r="C94" t="s">
        <v>21</v>
      </c>
      <c r="D94" t="s">
        <v>59</v>
      </c>
      <c r="G94" s="1">
        <v>46207</v>
      </c>
      <c r="H94">
        <v>10</v>
      </c>
      <c r="I94" t="s">
        <v>21</v>
      </c>
      <c r="J94" t="s">
        <v>59</v>
      </c>
      <c r="L94">
        <f t="shared" si="4"/>
        <v>1</v>
      </c>
    </row>
    <row r="95" spans="1:12" hidden="1" x14ac:dyDescent="0.3">
      <c r="A95" s="1">
        <v>46207</v>
      </c>
      <c r="B95">
        <v>10</v>
      </c>
      <c r="C95" t="s">
        <v>21</v>
      </c>
      <c r="D95" t="s">
        <v>24</v>
      </c>
      <c r="G95" s="1">
        <v>46207</v>
      </c>
      <c r="H95">
        <v>10</v>
      </c>
      <c r="I95" t="s">
        <v>21</v>
      </c>
      <c r="J95" t="s">
        <v>24</v>
      </c>
      <c r="K95" t="s">
        <v>204</v>
      </c>
      <c r="L95">
        <f t="shared" si="4"/>
        <v>1</v>
      </c>
    </row>
    <row r="96" spans="1:12" hidden="1" x14ac:dyDescent="0.3">
      <c r="A96" s="1">
        <v>46207</v>
      </c>
      <c r="B96">
        <v>10</v>
      </c>
      <c r="C96" t="s">
        <v>25</v>
      </c>
      <c r="D96" t="s">
        <v>26</v>
      </c>
      <c r="G96" s="1">
        <v>46207</v>
      </c>
      <c r="H96">
        <v>10</v>
      </c>
      <c r="I96" t="s">
        <v>25</v>
      </c>
      <c r="J96" t="s">
        <v>26</v>
      </c>
      <c r="L96">
        <f t="shared" si="4"/>
        <v>1</v>
      </c>
    </row>
    <row r="97" spans="1:12" hidden="1" x14ac:dyDescent="0.3">
      <c r="A97" s="1">
        <v>46207</v>
      </c>
      <c r="B97">
        <v>10</v>
      </c>
      <c r="C97" t="s">
        <v>25</v>
      </c>
      <c r="D97" t="s">
        <v>46</v>
      </c>
      <c r="G97" s="1">
        <v>46207</v>
      </c>
      <c r="H97">
        <v>10</v>
      </c>
      <c r="I97" t="s">
        <v>25</v>
      </c>
      <c r="J97" t="s">
        <v>46</v>
      </c>
      <c r="K97" t="s">
        <v>248</v>
      </c>
      <c r="L97">
        <f t="shared" si="4"/>
        <v>1</v>
      </c>
    </row>
    <row r="98" spans="1:12" x14ac:dyDescent="0.3">
      <c r="A98" s="1">
        <v>46207</v>
      </c>
      <c r="B98">
        <v>10</v>
      </c>
      <c r="C98" t="s">
        <v>21</v>
      </c>
      <c r="D98" t="s">
        <v>23</v>
      </c>
      <c r="G98" s="1">
        <v>46207</v>
      </c>
      <c r="H98">
        <v>10</v>
      </c>
      <c r="I98" t="s">
        <v>21</v>
      </c>
      <c r="J98" t="s">
        <v>23</v>
      </c>
      <c r="L98">
        <f t="shared" si="4"/>
        <v>1</v>
      </c>
    </row>
    <row r="99" spans="1:12" hidden="1" x14ac:dyDescent="0.3">
      <c r="A99" s="1">
        <v>46207</v>
      </c>
      <c r="B99">
        <v>10</v>
      </c>
      <c r="C99" t="s">
        <v>21</v>
      </c>
      <c r="D99" t="s">
        <v>47</v>
      </c>
      <c r="G99" s="1">
        <v>46207</v>
      </c>
      <c r="H99">
        <v>10</v>
      </c>
      <c r="I99" t="s">
        <v>21</v>
      </c>
      <c r="J99" t="s">
        <v>47</v>
      </c>
      <c r="K99" t="s">
        <v>203</v>
      </c>
      <c r="L99">
        <f t="shared" si="4"/>
        <v>1</v>
      </c>
    </row>
    <row r="100" spans="1:12" hidden="1" x14ac:dyDescent="0.3">
      <c r="A100" s="1">
        <v>46207</v>
      </c>
      <c r="B100">
        <v>10</v>
      </c>
      <c r="C100" t="s">
        <v>21</v>
      </c>
      <c r="D100" t="s">
        <v>44</v>
      </c>
      <c r="G100" s="1">
        <v>46207</v>
      </c>
      <c r="H100">
        <v>10</v>
      </c>
      <c r="I100" t="s">
        <v>21</v>
      </c>
      <c r="J100" t="s">
        <v>44</v>
      </c>
      <c r="K100" t="s">
        <v>257</v>
      </c>
      <c r="L100">
        <f t="shared" si="4"/>
        <v>1</v>
      </c>
    </row>
    <row r="101" spans="1:12" hidden="1" x14ac:dyDescent="0.3">
      <c r="A101" s="1">
        <v>46207</v>
      </c>
      <c r="B101">
        <v>10</v>
      </c>
      <c r="C101" t="s">
        <v>21</v>
      </c>
      <c r="D101" t="s">
        <v>34</v>
      </c>
      <c r="G101" s="1">
        <v>46207</v>
      </c>
      <c r="H101">
        <v>10</v>
      </c>
      <c r="I101" t="s">
        <v>21</v>
      </c>
      <c r="J101" t="s">
        <v>34</v>
      </c>
      <c r="K101" t="s">
        <v>201</v>
      </c>
      <c r="L101">
        <f t="shared" si="4"/>
        <v>1</v>
      </c>
    </row>
    <row r="102" spans="1:12" hidden="1" x14ac:dyDescent="0.3">
      <c r="A102" s="1">
        <v>46207</v>
      </c>
      <c r="B102">
        <v>10</v>
      </c>
      <c r="C102" t="s">
        <v>25</v>
      </c>
      <c r="D102" t="s">
        <v>57</v>
      </c>
      <c r="G102" s="1">
        <v>46207</v>
      </c>
      <c r="H102">
        <v>10</v>
      </c>
      <c r="I102" t="s">
        <v>25</v>
      </c>
      <c r="J102" t="s">
        <v>57</v>
      </c>
      <c r="K102" t="s">
        <v>217</v>
      </c>
      <c r="L102">
        <f t="shared" si="4"/>
        <v>1</v>
      </c>
    </row>
    <row r="103" spans="1:12" hidden="1" x14ac:dyDescent="0.3">
      <c r="A103" s="1">
        <v>46207</v>
      </c>
      <c r="B103">
        <v>10</v>
      </c>
      <c r="C103" t="s">
        <v>25</v>
      </c>
      <c r="D103" t="s">
        <v>33</v>
      </c>
      <c r="G103" s="1">
        <v>46207</v>
      </c>
      <c r="H103">
        <v>10</v>
      </c>
      <c r="I103" s="23" t="s">
        <v>25</v>
      </c>
      <c r="J103" t="s">
        <v>33</v>
      </c>
      <c r="K103" t="s">
        <v>254</v>
      </c>
      <c r="L103">
        <f t="shared" si="4"/>
        <v>1</v>
      </c>
    </row>
    <row r="104" spans="1:12" hidden="1" x14ac:dyDescent="0.3">
      <c r="A104" s="1">
        <v>46207</v>
      </c>
      <c r="B104">
        <v>10</v>
      </c>
      <c r="C104" t="s">
        <v>25</v>
      </c>
      <c r="D104" t="s">
        <v>58</v>
      </c>
      <c r="G104" s="1">
        <v>46207</v>
      </c>
      <c r="H104">
        <v>10</v>
      </c>
      <c r="I104" t="s">
        <v>25</v>
      </c>
      <c r="J104" t="s">
        <v>58</v>
      </c>
      <c r="K104" t="s">
        <v>255</v>
      </c>
      <c r="L104">
        <f t="shared" si="4"/>
        <v>1</v>
      </c>
    </row>
    <row r="105" spans="1:12" hidden="1" x14ac:dyDescent="0.3">
      <c r="A105" s="1">
        <v>46207</v>
      </c>
      <c r="B105">
        <v>10</v>
      </c>
      <c r="C105" t="s">
        <v>21</v>
      </c>
      <c r="D105" t="s">
        <v>28</v>
      </c>
      <c r="G105" s="1">
        <v>46207</v>
      </c>
      <c r="H105">
        <v>10</v>
      </c>
      <c r="I105" t="s">
        <v>21</v>
      </c>
      <c r="J105" t="s">
        <v>28</v>
      </c>
      <c r="L105">
        <f t="shared" si="4"/>
        <v>1</v>
      </c>
    </row>
    <row r="106" spans="1:12" hidden="1" x14ac:dyDescent="0.3">
      <c r="A106" s="1">
        <v>46207</v>
      </c>
      <c r="B106">
        <v>10</v>
      </c>
      <c r="C106" t="s">
        <v>25</v>
      </c>
      <c r="D106" t="s">
        <v>32</v>
      </c>
      <c r="G106" s="1">
        <v>46207</v>
      </c>
      <c r="H106">
        <v>10</v>
      </c>
      <c r="I106" t="s">
        <v>25</v>
      </c>
      <c r="J106" t="s">
        <v>32</v>
      </c>
      <c r="L106">
        <f t="shared" si="4"/>
        <v>1</v>
      </c>
    </row>
    <row r="107" spans="1:12" hidden="1" x14ac:dyDescent="0.3">
      <c r="A107" s="1">
        <v>46207</v>
      </c>
      <c r="B107">
        <v>10</v>
      </c>
      <c r="C107" t="s">
        <v>21</v>
      </c>
      <c r="D107" t="s">
        <v>95</v>
      </c>
      <c r="E107" t="s">
        <v>190</v>
      </c>
      <c r="G107" s="1">
        <v>46207</v>
      </c>
      <c r="H107">
        <v>10</v>
      </c>
      <c r="I107" t="s">
        <v>21</v>
      </c>
      <c r="J107" t="s">
        <v>95</v>
      </c>
      <c r="K107" s="27" t="str">
        <f>E107</f>
        <v>Шаубаев</v>
      </c>
      <c r="L107">
        <f t="shared" si="4"/>
        <v>1</v>
      </c>
    </row>
    <row r="108" spans="1:12" hidden="1" x14ac:dyDescent="0.3">
      <c r="A108" s="1">
        <v>46207</v>
      </c>
      <c r="B108">
        <v>8</v>
      </c>
      <c r="C108" t="s">
        <v>96</v>
      </c>
      <c r="D108" t="s">
        <v>97</v>
      </c>
      <c r="G108" s="1">
        <v>46207</v>
      </c>
      <c r="H108">
        <v>8</v>
      </c>
      <c r="I108" t="s">
        <v>96</v>
      </c>
      <c r="J108" t="s">
        <v>97</v>
      </c>
      <c r="K108" t="s">
        <v>190</v>
      </c>
      <c r="L108">
        <f t="shared" si="4"/>
        <v>1</v>
      </c>
    </row>
    <row r="109" spans="1:12" hidden="1" x14ac:dyDescent="0.3">
      <c r="A109" s="1">
        <v>46207</v>
      </c>
      <c r="B109">
        <v>6</v>
      </c>
      <c r="C109" t="s">
        <v>21</v>
      </c>
      <c r="D109" t="s">
        <v>61</v>
      </c>
      <c r="G109" s="1">
        <v>46207</v>
      </c>
      <c r="H109">
        <v>6</v>
      </c>
      <c r="I109" t="s">
        <v>21</v>
      </c>
      <c r="J109" t="s">
        <v>61</v>
      </c>
      <c r="K109" t="s">
        <v>253</v>
      </c>
      <c r="L109">
        <f t="shared" si="4"/>
        <v>1</v>
      </c>
    </row>
    <row r="110" spans="1:12" hidden="1" x14ac:dyDescent="0.3">
      <c r="A110" s="1">
        <v>46207</v>
      </c>
      <c r="B110">
        <v>10</v>
      </c>
      <c r="C110" t="s">
        <v>105</v>
      </c>
      <c r="D110" t="s">
        <v>106</v>
      </c>
      <c r="G110" s="1">
        <v>46207</v>
      </c>
      <c r="H110">
        <v>10</v>
      </c>
      <c r="I110" t="s">
        <v>105</v>
      </c>
      <c r="J110" t="s">
        <v>106</v>
      </c>
      <c r="K110" t="s">
        <v>205</v>
      </c>
      <c r="L110">
        <f t="shared" si="4"/>
        <v>1</v>
      </c>
    </row>
    <row r="111" spans="1:12" hidden="1" x14ac:dyDescent="0.3">
      <c r="A111" s="1">
        <v>46207</v>
      </c>
      <c r="B111">
        <v>10</v>
      </c>
      <c r="C111" t="s">
        <v>21</v>
      </c>
      <c r="D111" t="s">
        <v>92</v>
      </c>
      <c r="G111" s="1">
        <v>46207</v>
      </c>
      <c r="H111">
        <v>10</v>
      </c>
      <c r="I111" t="s">
        <v>21</v>
      </c>
      <c r="J111" t="s">
        <v>92</v>
      </c>
      <c r="K111" t="s">
        <v>213</v>
      </c>
      <c r="L111">
        <f t="shared" si="4"/>
        <v>1</v>
      </c>
    </row>
    <row r="112" spans="1:12" hidden="1" x14ac:dyDescent="0.3">
      <c r="A112" s="1">
        <v>46207</v>
      </c>
      <c r="B112">
        <v>10</v>
      </c>
      <c r="C112" t="s">
        <v>90</v>
      </c>
      <c r="D112" t="s">
        <v>91</v>
      </c>
      <c r="G112" s="1">
        <v>46207</v>
      </c>
      <c r="H112">
        <v>10</v>
      </c>
      <c r="I112" t="s">
        <v>90</v>
      </c>
      <c r="J112" t="s">
        <v>91</v>
      </c>
      <c r="K112" t="s">
        <v>199</v>
      </c>
      <c r="L112">
        <f t="shared" si="4"/>
        <v>1</v>
      </c>
    </row>
    <row r="113" spans="1:12" hidden="1" x14ac:dyDescent="0.3">
      <c r="A113" s="1">
        <v>46208</v>
      </c>
      <c r="B113">
        <v>10</v>
      </c>
      <c r="C113" t="s">
        <v>98</v>
      </c>
      <c r="D113" t="s">
        <v>99</v>
      </c>
      <c r="E113" t="s">
        <v>134</v>
      </c>
      <c r="G113" s="1">
        <v>46208</v>
      </c>
      <c r="H113">
        <v>10</v>
      </c>
      <c r="I113" t="s">
        <v>98</v>
      </c>
      <c r="J113" t="s">
        <v>99</v>
      </c>
      <c r="K113" s="27" t="str">
        <f t="shared" ref="K113:K115" si="6">E113</f>
        <v xml:space="preserve">Абитов </v>
      </c>
      <c r="L113">
        <f t="shared" si="4"/>
        <v>1</v>
      </c>
    </row>
    <row r="114" spans="1:12" hidden="1" x14ac:dyDescent="0.3">
      <c r="A114" s="1">
        <v>46208</v>
      </c>
      <c r="B114">
        <v>10</v>
      </c>
      <c r="C114" t="s">
        <v>9</v>
      </c>
      <c r="D114" t="s">
        <v>7</v>
      </c>
      <c r="E114" t="s">
        <v>137</v>
      </c>
      <c r="G114" s="1">
        <v>46208</v>
      </c>
      <c r="H114">
        <v>10</v>
      </c>
      <c r="I114" t="s">
        <v>9</v>
      </c>
      <c r="J114" t="s">
        <v>7</v>
      </c>
      <c r="K114" s="27" t="str">
        <f t="shared" si="6"/>
        <v>Шугуров</v>
      </c>
      <c r="L114">
        <f t="shared" si="4"/>
        <v>1</v>
      </c>
    </row>
    <row r="115" spans="1:12" hidden="1" x14ac:dyDescent="0.3">
      <c r="A115" s="1">
        <v>46208</v>
      </c>
      <c r="B115">
        <v>10</v>
      </c>
      <c r="C115" t="s">
        <v>11</v>
      </c>
      <c r="D115" t="s">
        <v>103</v>
      </c>
      <c r="E115" t="s">
        <v>143</v>
      </c>
      <c r="G115" s="1">
        <v>46208</v>
      </c>
      <c r="H115">
        <v>10</v>
      </c>
      <c r="I115" t="s">
        <v>11</v>
      </c>
      <c r="J115" t="s">
        <v>103</v>
      </c>
      <c r="K115" s="27" t="str">
        <f t="shared" si="6"/>
        <v>Саликов</v>
      </c>
      <c r="L115">
        <f t="shared" si="4"/>
        <v>1</v>
      </c>
    </row>
    <row r="116" spans="1:12" hidden="1" x14ac:dyDescent="0.3">
      <c r="A116" s="1">
        <v>46208</v>
      </c>
      <c r="B116">
        <v>10</v>
      </c>
      <c r="C116" t="s">
        <v>11</v>
      </c>
      <c r="D116" t="s">
        <v>107</v>
      </c>
      <c r="G116" s="1">
        <v>46208</v>
      </c>
      <c r="H116">
        <v>10</v>
      </c>
      <c r="I116" t="s">
        <v>11</v>
      </c>
      <c r="J116" t="s">
        <v>107</v>
      </c>
      <c r="L116">
        <f t="shared" si="4"/>
        <v>1</v>
      </c>
    </row>
    <row r="117" spans="1:12" hidden="1" x14ac:dyDescent="0.3">
      <c r="A117" s="1">
        <v>46208</v>
      </c>
      <c r="B117">
        <v>10</v>
      </c>
      <c r="C117" t="s">
        <v>10</v>
      </c>
      <c r="D117" t="s">
        <v>12</v>
      </c>
      <c r="E117" t="s">
        <v>141</v>
      </c>
      <c r="G117" s="1">
        <v>46208</v>
      </c>
      <c r="H117">
        <v>10</v>
      </c>
      <c r="I117" t="s">
        <v>10</v>
      </c>
      <c r="J117" t="s">
        <v>12</v>
      </c>
      <c r="K117" s="27" t="str">
        <f t="shared" ref="K117:K118" si="7">E117</f>
        <v>Бисенов</v>
      </c>
      <c r="L117">
        <f t="shared" si="4"/>
        <v>1</v>
      </c>
    </row>
    <row r="118" spans="1:12" hidden="1" x14ac:dyDescent="0.3">
      <c r="A118" s="1">
        <v>46208</v>
      </c>
      <c r="B118">
        <v>10</v>
      </c>
      <c r="C118" t="s">
        <v>10</v>
      </c>
      <c r="D118" s="23" t="s">
        <v>115</v>
      </c>
      <c r="E118" t="s">
        <v>140</v>
      </c>
      <c r="G118" s="1">
        <v>46208</v>
      </c>
      <c r="H118">
        <v>10</v>
      </c>
      <c r="I118" t="s">
        <v>10</v>
      </c>
      <c r="J118" s="27" t="str">
        <f>D118</f>
        <v>178 AXD</v>
      </c>
      <c r="K118" s="27" t="str">
        <f t="shared" si="7"/>
        <v>Койшыбаев</v>
      </c>
      <c r="L118">
        <f t="shared" si="4"/>
        <v>1</v>
      </c>
    </row>
    <row r="119" spans="1:12" hidden="1" x14ac:dyDescent="0.3">
      <c r="A119" s="1">
        <v>46208</v>
      </c>
      <c r="B119">
        <v>10</v>
      </c>
      <c r="C119" t="s">
        <v>10</v>
      </c>
      <c r="D119" t="s">
        <v>8</v>
      </c>
      <c r="G119" s="1">
        <v>46208</v>
      </c>
      <c r="H119">
        <v>10</v>
      </c>
      <c r="I119" t="s">
        <v>10</v>
      </c>
      <c r="J119" t="s">
        <v>8</v>
      </c>
      <c r="K119" t="s">
        <v>142</v>
      </c>
      <c r="L119">
        <f t="shared" si="4"/>
        <v>1</v>
      </c>
    </row>
    <row r="120" spans="1:12" hidden="1" x14ac:dyDescent="0.3">
      <c r="A120" s="1">
        <v>46208</v>
      </c>
      <c r="B120">
        <v>10</v>
      </c>
      <c r="C120" t="s">
        <v>13</v>
      </c>
      <c r="D120" t="s">
        <v>14</v>
      </c>
      <c r="G120" s="1">
        <v>46208</v>
      </c>
      <c r="H120">
        <v>10</v>
      </c>
      <c r="I120" t="s">
        <v>13</v>
      </c>
      <c r="J120" t="s">
        <v>14</v>
      </c>
      <c r="K120" t="s">
        <v>208</v>
      </c>
      <c r="L120">
        <f t="shared" si="4"/>
        <v>1</v>
      </c>
    </row>
    <row r="121" spans="1:12" hidden="1" x14ac:dyDescent="0.3">
      <c r="A121" s="1">
        <v>46208</v>
      </c>
      <c r="B121">
        <v>10</v>
      </c>
      <c r="C121" t="s">
        <v>13</v>
      </c>
      <c r="D121" t="s">
        <v>20</v>
      </c>
      <c r="G121" s="1">
        <v>46208</v>
      </c>
      <c r="H121">
        <v>10</v>
      </c>
      <c r="I121" t="s">
        <v>13</v>
      </c>
      <c r="J121" t="s">
        <v>20</v>
      </c>
      <c r="K121" t="s">
        <v>209</v>
      </c>
      <c r="L121">
        <f t="shared" si="4"/>
        <v>1</v>
      </c>
    </row>
    <row r="122" spans="1:12" hidden="1" x14ac:dyDescent="0.3">
      <c r="A122" s="1">
        <v>46208</v>
      </c>
      <c r="B122">
        <v>10</v>
      </c>
      <c r="C122" t="s">
        <v>13</v>
      </c>
      <c r="D122" t="s">
        <v>19</v>
      </c>
      <c r="G122" s="1">
        <v>46208</v>
      </c>
      <c r="H122">
        <v>10</v>
      </c>
      <c r="I122" t="s">
        <v>13</v>
      </c>
      <c r="J122" t="s">
        <v>19</v>
      </c>
      <c r="K122" t="s">
        <v>210</v>
      </c>
      <c r="L122">
        <f t="shared" si="4"/>
        <v>1</v>
      </c>
    </row>
    <row r="123" spans="1:12" hidden="1" x14ac:dyDescent="0.3">
      <c r="A123" s="1">
        <v>46208</v>
      </c>
      <c r="B123">
        <v>10</v>
      </c>
      <c r="C123" t="s">
        <v>13</v>
      </c>
      <c r="D123" t="s">
        <v>18</v>
      </c>
      <c r="G123" s="1">
        <v>46208</v>
      </c>
      <c r="H123">
        <v>10</v>
      </c>
      <c r="I123" t="s">
        <v>13</v>
      </c>
      <c r="J123" t="s">
        <v>18</v>
      </c>
      <c r="K123" t="s">
        <v>212</v>
      </c>
      <c r="L123">
        <f t="shared" si="4"/>
        <v>1</v>
      </c>
    </row>
    <row r="124" spans="1:12" hidden="1" x14ac:dyDescent="0.3">
      <c r="A124" s="1">
        <v>46208</v>
      </c>
      <c r="B124">
        <v>10</v>
      </c>
      <c r="C124" t="s">
        <v>108</v>
      </c>
      <c r="D124" t="s">
        <v>16</v>
      </c>
      <c r="E124" t="s">
        <v>191</v>
      </c>
      <c r="G124" s="1">
        <v>46208</v>
      </c>
      <c r="H124">
        <v>10</v>
      </c>
      <c r="I124" t="s">
        <v>13</v>
      </c>
      <c r="J124" t="s">
        <v>16</v>
      </c>
      <c r="K124" s="27" t="str">
        <f>E124</f>
        <v>Абылхаиров</v>
      </c>
      <c r="L124">
        <f t="shared" si="4"/>
        <v>1</v>
      </c>
    </row>
    <row r="125" spans="1:12" hidden="1" x14ac:dyDescent="0.3">
      <c r="A125" s="4">
        <v>46208</v>
      </c>
      <c r="B125">
        <v>10</v>
      </c>
      <c r="C125" t="s">
        <v>13</v>
      </c>
      <c r="D125" t="s">
        <v>17</v>
      </c>
      <c r="G125" s="1">
        <v>46208</v>
      </c>
      <c r="H125">
        <v>10</v>
      </c>
      <c r="I125" t="s">
        <v>13</v>
      </c>
      <c r="J125" t="s">
        <v>17</v>
      </c>
      <c r="K125" t="s">
        <v>191</v>
      </c>
      <c r="L125">
        <f t="shared" si="4"/>
        <v>1</v>
      </c>
    </row>
    <row r="126" spans="1:12" hidden="1" x14ac:dyDescent="0.3">
      <c r="A126" s="1">
        <v>46208</v>
      </c>
      <c r="B126">
        <v>10</v>
      </c>
      <c r="C126" t="s">
        <v>13</v>
      </c>
      <c r="D126" t="s">
        <v>102</v>
      </c>
      <c r="G126" s="1">
        <v>46208</v>
      </c>
      <c r="H126">
        <v>10</v>
      </c>
      <c r="I126" t="s">
        <v>13</v>
      </c>
      <c r="J126" t="s">
        <v>102</v>
      </c>
      <c r="K126" t="s">
        <v>191</v>
      </c>
      <c r="L126">
        <f t="shared" si="4"/>
        <v>1</v>
      </c>
    </row>
    <row r="127" spans="1:12" hidden="1" x14ac:dyDescent="0.3">
      <c r="A127" s="1">
        <v>46208</v>
      </c>
      <c r="B127">
        <v>10</v>
      </c>
      <c r="C127" t="s">
        <v>13</v>
      </c>
      <c r="D127" t="s">
        <v>104</v>
      </c>
      <c r="G127" s="1">
        <v>46208</v>
      </c>
      <c r="H127">
        <v>10</v>
      </c>
      <c r="I127" t="s">
        <v>13</v>
      </c>
      <c r="J127" t="s">
        <v>104</v>
      </c>
      <c r="K127" t="s">
        <v>191</v>
      </c>
      <c r="L127">
        <f t="shared" si="4"/>
        <v>1</v>
      </c>
    </row>
    <row r="128" spans="1:12" hidden="1" x14ac:dyDescent="0.3">
      <c r="A128" s="1">
        <v>46208</v>
      </c>
      <c r="B128">
        <v>10</v>
      </c>
      <c r="C128" t="s">
        <v>21</v>
      </c>
      <c r="D128" t="s">
        <v>44</v>
      </c>
      <c r="G128" s="1">
        <v>46208</v>
      </c>
      <c r="H128">
        <v>10</v>
      </c>
      <c r="I128" t="s">
        <v>21</v>
      </c>
      <c r="J128" t="s">
        <v>44</v>
      </c>
      <c r="K128" t="s">
        <v>257</v>
      </c>
      <c r="L128">
        <f t="shared" si="4"/>
        <v>1</v>
      </c>
    </row>
    <row r="129" spans="1:12" hidden="1" x14ac:dyDescent="0.3">
      <c r="A129" s="1">
        <v>46208</v>
      </c>
      <c r="B129">
        <v>10</v>
      </c>
      <c r="C129" t="s">
        <v>21</v>
      </c>
      <c r="D129" t="s">
        <v>24</v>
      </c>
      <c r="G129" s="1">
        <v>46208</v>
      </c>
      <c r="H129">
        <v>10</v>
      </c>
      <c r="I129" t="s">
        <v>21</v>
      </c>
      <c r="J129" t="s">
        <v>24</v>
      </c>
      <c r="K129" t="s">
        <v>204</v>
      </c>
      <c r="L129">
        <f t="shared" si="4"/>
        <v>1</v>
      </c>
    </row>
    <row r="130" spans="1:12" hidden="1" x14ac:dyDescent="0.3">
      <c r="A130" s="1">
        <v>46208</v>
      </c>
      <c r="B130">
        <v>10</v>
      </c>
      <c r="C130" t="s">
        <v>21</v>
      </c>
      <c r="D130" t="s">
        <v>34</v>
      </c>
      <c r="G130" s="1">
        <v>46208</v>
      </c>
      <c r="H130">
        <v>10</v>
      </c>
      <c r="I130" t="s">
        <v>21</v>
      </c>
      <c r="J130" t="s">
        <v>34</v>
      </c>
      <c r="K130" t="s">
        <v>201</v>
      </c>
      <c r="L130">
        <f t="shared" si="4"/>
        <v>1</v>
      </c>
    </row>
    <row r="131" spans="1:12" hidden="1" x14ac:dyDescent="0.3">
      <c r="A131" s="1">
        <v>46208</v>
      </c>
      <c r="B131">
        <v>10</v>
      </c>
      <c r="C131" t="s">
        <v>21</v>
      </c>
      <c r="D131" t="s">
        <v>59</v>
      </c>
      <c r="G131" s="1">
        <v>46208</v>
      </c>
      <c r="H131">
        <v>10</v>
      </c>
      <c r="I131" t="s">
        <v>21</v>
      </c>
      <c r="J131" t="s">
        <v>59</v>
      </c>
      <c r="L131">
        <f t="shared" ref="L131:L194" si="8">IF(J131=D131,1,0)</f>
        <v>1</v>
      </c>
    </row>
    <row r="132" spans="1:12" hidden="1" x14ac:dyDescent="0.3">
      <c r="A132" s="1">
        <v>46208</v>
      </c>
      <c r="B132">
        <v>10</v>
      </c>
      <c r="C132" t="s">
        <v>21</v>
      </c>
      <c r="D132" t="s">
        <v>47</v>
      </c>
      <c r="G132" s="1">
        <v>46208</v>
      </c>
      <c r="H132">
        <v>10</v>
      </c>
      <c r="I132" t="s">
        <v>21</v>
      </c>
      <c r="J132" t="s">
        <v>47</v>
      </c>
      <c r="K132" t="s">
        <v>203</v>
      </c>
      <c r="L132">
        <f t="shared" si="8"/>
        <v>1</v>
      </c>
    </row>
    <row r="133" spans="1:12" hidden="1" x14ac:dyDescent="0.3">
      <c r="A133" s="1">
        <v>46208</v>
      </c>
      <c r="B133">
        <v>10</v>
      </c>
      <c r="C133" t="s">
        <v>21</v>
      </c>
      <c r="D133" t="s">
        <v>22</v>
      </c>
      <c r="G133" s="1">
        <v>46208</v>
      </c>
      <c r="H133">
        <v>10</v>
      </c>
      <c r="I133" t="s">
        <v>21</v>
      </c>
      <c r="J133" t="s">
        <v>22</v>
      </c>
      <c r="K133" t="s">
        <v>221</v>
      </c>
      <c r="L133">
        <f t="shared" si="8"/>
        <v>1</v>
      </c>
    </row>
    <row r="134" spans="1:12" hidden="1" x14ac:dyDescent="0.3">
      <c r="A134" s="21">
        <v>46208</v>
      </c>
      <c r="B134" s="7">
        <v>10</v>
      </c>
      <c r="C134" s="7" t="s">
        <v>21</v>
      </c>
      <c r="D134" s="7" t="s">
        <v>109</v>
      </c>
      <c r="G134" s="35">
        <v>46208</v>
      </c>
      <c r="H134" s="34">
        <v>10</v>
      </c>
      <c r="I134" s="34" t="s">
        <v>21</v>
      </c>
      <c r="J134" s="34" t="s">
        <v>109</v>
      </c>
      <c r="K134" s="34"/>
      <c r="L134">
        <f t="shared" si="8"/>
        <v>1</v>
      </c>
    </row>
    <row r="135" spans="1:12" hidden="1" x14ac:dyDescent="0.3">
      <c r="A135" s="1">
        <v>46208</v>
      </c>
      <c r="B135">
        <v>10</v>
      </c>
      <c r="C135" t="s">
        <v>90</v>
      </c>
      <c r="D135" t="s">
        <v>91</v>
      </c>
      <c r="G135" s="1">
        <v>46208</v>
      </c>
      <c r="H135">
        <v>10</v>
      </c>
      <c r="I135" t="s">
        <v>90</v>
      </c>
      <c r="J135" t="s">
        <v>91</v>
      </c>
      <c r="K135" t="s">
        <v>199</v>
      </c>
      <c r="L135">
        <f t="shared" si="8"/>
        <v>1</v>
      </c>
    </row>
    <row r="136" spans="1:12" hidden="1" x14ac:dyDescent="0.3">
      <c r="A136" s="1">
        <v>46208</v>
      </c>
      <c r="B136">
        <v>10</v>
      </c>
      <c r="C136" t="s">
        <v>25</v>
      </c>
      <c r="D136" t="s">
        <v>57</v>
      </c>
      <c r="G136" s="1">
        <v>46208</v>
      </c>
      <c r="H136">
        <v>10</v>
      </c>
      <c r="I136" t="s">
        <v>25</v>
      </c>
      <c r="J136" t="s">
        <v>57</v>
      </c>
      <c r="K136" t="s">
        <v>217</v>
      </c>
      <c r="L136">
        <f t="shared" si="8"/>
        <v>1</v>
      </c>
    </row>
    <row r="137" spans="1:12" hidden="1" x14ac:dyDescent="0.3">
      <c r="A137" s="1">
        <v>46208</v>
      </c>
      <c r="B137">
        <v>10</v>
      </c>
      <c r="C137" t="s">
        <v>25</v>
      </c>
      <c r="D137" t="s">
        <v>58</v>
      </c>
      <c r="G137" s="1">
        <v>46208</v>
      </c>
      <c r="H137">
        <v>10</v>
      </c>
      <c r="I137" t="s">
        <v>25</v>
      </c>
      <c r="J137" t="s">
        <v>58</v>
      </c>
      <c r="K137" t="s">
        <v>255</v>
      </c>
      <c r="L137">
        <f t="shared" si="8"/>
        <v>1</v>
      </c>
    </row>
    <row r="138" spans="1:12" hidden="1" x14ac:dyDescent="0.3">
      <c r="A138" s="1">
        <v>46208</v>
      </c>
      <c r="B138">
        <v>10</v>
      </c>
      <c r="C138" t="s">
        <v>21</v>
      </c>
      <c r="D138" t="s">
        <v>92</v>
      </c>
      <c r="G138" s="1">
        <v>46208</v>
      </c>
      <c r="H138">
        <v>10</v>
      </c>
      <c r="I138" t="s">
        <v>21</v>
      </c>
      <c r="J138" t="s">
        <v>92</v>
      </c>
      <c r="K138" t="s">
        <v>213</v>
      </c>
      <c r="L138">
        <f t="shared" si="8"/>
        <v>1</v>
      </c>
    </row>
    <row r="139" spans="1:12" hidden="1" x14ac:dyDescent="0.3">
      <c r="A139" s="1">
        <v>46208</v>
      </c>
      <c r="B139">
        <v>10</v>
      </c>
      <c r="C139" t="s">
        <v>21</v>
      </c>
      <c r="D139" t="s">
        <v>28</v>
      </c>
      <c r="G139" s="1">
        <v>46208</v>
      </c>
      <c r="H139">
        <v>10</v>
      </c>
      <c r="I139" t="s">
        <v>21</v>
      </c>
      <c r="J139" t="s">
        <v>28</v>
      </c>
      <c r="L139">
        <f t="shared" si="8"/>
        <v>1</v>
      </c>
    </row>
    <row r="140" spans="1:12" hidden="1" x14ac:dyDescent="0.3">
      <c r="A140" s="1">
        <v>46208</v>
      </c>
      <c r="B140">
        <v>10</v>
      </c>
      <c r="C140" t="s">
        <v>21</v>
      </c>
      <c r="D140" t="s">
        <v>27</v>
      </c>
      <c r="G140" s="1">
        <v>46208</v>
      </c>
      <c r="H140">
        <v>10</v>
      </c>
      <c r="I140" t="s">
        <v>21</v>
      </c>
      <c r="J140" t="s">
        <v>27</v>
      </c>
      <c r="K140" t="s">
        <v>216</v>
      </c>
      <c r="L140">
        <f t="shared" si="8"/>
        <v>1</v>
      </c>
    </row>
    <row r="141" spans="1:12" hidden="1" x14ac:dyDescent="0.3">
      <c r="A141" s="1">
        <v>46208</v>
      </c>
      <c r="B141">
        <v>10</v>
      </c>
      <c r="C141" t="s">
        <v>25</v>
      </c>
      <c r="D141" t="s">
        <v>46</v>
      </c>
      <c r="G141" s="1">
        <v>46208</v>
      </c>
      <c r="H141">
        <v>10</v>
      </c>
      <c r="I141" t="s">
        <v>25</v>
      </c>
      <c r="J141" t="s">
        <v>46</v>
      </c>
      <c r="K141" t="s">
        <v>248</v>
      </c>
      <c r="L141">
        <f t="shared" si="8"/>
        <v>1</v>
      </c>
    </row>
    <row r="142" spans="1:12" hidden="1" x14ac:dyDescent="0.3">
      <c r="A142" s="1">
        <v>46208</v>
      </c>
      <c r="B142">
        <v>10</v>
      </c>
      <c r="C142" t="s">
        <v>25</v>
      </c>
      <c r="D142" t="s">
        <v>32</v>
      </c>
      <c r="G142" s="1">
        <v>46208</v>
      </c>
      <c r="H142">
        <v>10</v>
      </c>
      <c r="I142" t="s">
        <v>25</v>
      </c>
      <c r="J142" t="s">
        <v>32</v>
      </c>
      <c r="L142">
        <f t="shared" si="8"/>
        <v>1</v>
      </c>
    </row>
    <row r="143" spans="1:12" hidden="1" x14ac:dyDescent="0.3">
      <c r="A143" s="1">
        <v>46208</v>
      </c>
      <c r="B143">
        <v>10</v>
      </c>
      <c r="C143" t="s">
        <v>25</v>
      </c>
      <c r="D143" t="s">
        <v>60</v>
      </c>
      <c r="G143" s="1">
        <v>46208</v>
      </c>
      <c r="H143">
        <v>10</v>
      </c>
      <c r="I143" t="s">
        <v>25</v>
      </c>
      <c r="J143" t="s">
        <v>60</v>
      </c>
      <c r="L143">
        <f t="shared" si="8"/>
        <v>1</v>
      </c>
    </row>
    <row r="144" spans="1:12" hidden="1" x14ac:dyDescent="0.3">
      <c r="A144" s="1">
        <v>46208</v>
      </c>
      <c r="B144">
        <v>10</v>
      </c>
      <c r="C144" t="s">
        <v>21</v>
      </c>
      <c r="D144" t="s">
        <v>67</v>
      </c>
      <c r="G144" s="1">
        <v>46208</v>
      </c>
      <c r="H144">
        <v>10</v>
      </c>
      <c r="I144" t="s">
        <v>21</v>
      </c>
      <c r="J144" t="s">
        <v>67</v>
      </c>
      <c r="K144" t="s">
        <v>218</v>
      </c>
      <c r="L144">
        <f t="shared" si="8"/>
        <v>1</v>
      </c>
    </row>
    <row r="145" spans="1:12" hidden="1" x14ac:dyDescent="0.3">
      <c r="A145" s="1">
        <v>46208</v>
      </c>
      <c r="B145">
        <v>10</v>
      </c>
      <c r="C145" t="s">
        <v>96</v>
      </c>
      <c r="D145" t="s">
        <v>97</v>
      </c>
      <c r="G145" s="1">
        <v>46208</v>
      </c>
      <c r="H145">
        <v>10</v>
      </c>
      <c r="I145" t="s">
        <v>96</v>
      </c>
      <c r="J145" t="s">
        <v>97</v>
      </c>
      <c r="K145" t="s">
        <v>190</v>
      </c>
      <c r="L145">
        <f t="shared" si="8"/>
        <v>1</v>
      </c>
    </row>
    <row r="146" spans="1:12" hidden="1" x14ac:dyDescent="0.3">
      <c r="A146" s="1">
        <v>46208</v>
      </c>
      <c r="B146">
        <v>10</v>
      </c>
      <c r="C146" t="s">
        <v>25</v>
      </c>
      <c r="D146" t="s">
        <v>26</v>
      </c>
      <c r="G146" s="1">
        <v>46208</v>
      </c>
      <c r="H146">
        <v>10</v>
      </c>
      <c r="I146" t="s">
        <v>25</v>
      </c>
      <c r="J146" t="s">
        <v>26</v>
      </c>
      <c r="L146">
        <f t="shared" si="8"/>
        <v>1</v>
      </c>
    </row>
    <row r="147" spans="1:12" hidden="1" x14ac:dyDescent="0.3">
      <c r="A147" s="1">
        <v>46208</v>
      </c>
      <c r="B147">
        <v>10</v>
      </c>
      <c r="C147" t="s">
        <v>21</v>
      </c>
      <c r="D147" t="s">
        <v>95</v>
      </c>
      <c r="E147" t="s">
        <v>190</v>
      </c>
      <c r="G147" s="1">
        <v>46208</v>
      </c>
      <c r="H147">
        <v>10</v>
      </c>
      <c r="I147" t="s">
        <v>21</v>
      </c>
      <c r="J147" t="s">
        <v>95</v>
      </c>
      <c r="K147" s="27" t="str">
        <f>E147</f>
        <v>Шаубаев</v>
      </c>
      <c r="L147">
        <f t="shared" si="8"/>
        <v>1</v>
      </c>
    </row>
    <row r="148" spans="1:12" hidden="1" x14ac:dyDescent="0.3">
      <c r="A148" s="1">
        <v>46208</v>
      </c>
      <c r="B148">
        <v>10</v>
      </c>
      <c r="C148" t="s">
        <v>43</v>
      </c>
      <c r="D148" t="s">
        <v>48</v>
      </c>
      <c r="G148" s="1">
        <v>46208</v>
      </c>
      <c r="H148">
        <v>10</v>
      </c>
      <c r="I148" t="s">
        <v>43</v>
      </c>
      <c r="J148" t="s">
        <v>48</v>
      </c>
      <c r="K148" t="s">
        <v>200</v>
      </c>
      <c r="L148">
        <f t="shared" si="8"/>
        <v>1</v>
      </c>
    </row>
    <row r="149" spans="1:12" x14ac:dyDescent="0.3">
      <c r="A149" s="1">
        <v>46208</v>
      </c>
      <c r="B149">
        <v>10</v>
      </c>
      <c r="C149" t="s">
        <v>21</v>
      </c>
      <c r="D149" t="s">
        <v>23</v>
      </c>
      <c r="G149" s="1">
        <v>46208</v>
      </c>
      <c r="H149">
        <v>10</v>
      </c>
      <c r="I149" t="s">
        <v>21</v>
      </c>
      <c r="J149" t="s">
        <v>23</v>
      </c>
      <c r="L149">
        <f t="shared" si="8"/>
        <v>1</v>
      </c>
    </row>
    <row r="150" spans="1:12" hidden="1" x14ac:dyDescent="0.3">
      <c r="A150" s="1">
        <v>46208</v>
      </c>
      <c r="B150">
        <v>7</v>
      </c>
      <c r="C150" t="s">
        <v>21</v>
      </c>
      <c r="D150" t="s">
        <v>70</v>
      </c>
      <c r="G150" s="1">
        <v>46208</v>
      </c>
      <c r="H150">
        <v>7</v>
      </c>
      <c r="I150" t="s">
        <v>21</v>
      </c>
      <c r="J150" t="s">
        <v>70</v>
      </c>
      <c r="L150">
        <f t="shared" si="8"/>
        <v>1</v>
      </c>
    </row>
    <row r="151" spans="1:12" hidden="1" x14ac:dyDescent="0.3">
      <c r="A151" s="1">
        <v>46208</v>
      </c>
      <c r="C151" t="s">
        <v>105</v>
      </c>
      <c r="D151" t="s">
        <v>106</v>
      </c>
      <c r="G151" s="1">
        <v>46208</v>
      </c>
      <c r="I151" t="s">
        <v>105</v>
      </c>
      <c r="J151" t="s">
        <v>106</v>
      </c>
      <c r="K151" t="s">
        <v>205</v>
      </c>
      <c r="L151">
        <f t="shared" si="8"/>
        <v>1</v>
      </c>
    </row>
    <row r="152" spans="1:12" hidden="1" x14ac:dyDescent="0.3">
      <c r="A152" s="1">
        <v>46208</v>
      </c>
      <c r="C152" t="s">
        <v>105</v>
      </c>
      <c r="D152" t="s">
        <v>110</v>
      </c>
      <c r="G152" s="1">
        <v>46208</v>
      </c>
      <c r="I152" t="s">
        <v>105</v>
      </c>
      <c r="J152" t="s">
        <v>110</v>
      </c>
      <c r="K152" t="s">
        <v>252</v>
      </c>
      <c r="L152">
        <f t="shared" si="8"/>
        <v>1</v>
      </c>
    </row>
    <row r="153" spans="1:12" hidden="1" x14ac:dyDescent="0.3">
      <c r="A153" s="1">
        <v>46208</v>
      </c>
      <c r="B153">
        <v>10</v>
      </c>
      <c r="C153" t="s">
        <v>25</v>
      </c>
      <c r="D153" t="s">
        <v>33</v>
      </c>
      <c r="G153" s="1">
        <v>46208</v>
      </c>
      <c r="H153">
        <v>10</v>
      </c>
      <c r="I153" s="23" t="s">
        <v>25</v>
      </c>
      <c r="J153" t="s">
        <v>33</v>
      </c>
      <c r="K153" t="s">
        <v>254</v>
      </c>
      <c r="L153">
        <f t="shared" si="8"/>
        <v>1</v>
      </c>
    </row>
    <row r="154" spans="1:12" hidden="1" x14ac:dyDescent="0.3">
      <c r="A154" s="1">
        <v>46209</v>
      </c>
      <c r="B154">
        <v>9</v>
      </c>
      <c r="C154" t="s">
        <v>98</v>
      </c>
      <c r="D154" t="s">
        <v>99</v>
      </c>
      <c r="E154" t="s">
        <v>134</v>
      </c>
      <c r="G154" s="1">
        <v>46209</v>
      </c>
      <c r="H154">
        <v>9</v>
      </c>
      <c r="I154" t="s">
        <v>98</v>
      </c>
      <c r="J154" t="s">
        <v>99</v>
      </c>
      <c r="K154" s="27" t="str">
        <f>E154</f>
        <v xml:space="preserve">Абитов </v>
      </c>
      <c r="L154">
        <f t="shared" si="8"/>
        <v>1</v>
      </c>
    </row>
    <row r="155" spans="1:12" hidden="1" x14ac:dyDescent="0.3">
      <c r="A155" s="1">
        <v>46209</v>
      </c>
      <c r="B155">
        <v>9</v>
      </c>
      <c r="C155" t="s">
        <v>98</v>
      </c>
      <c r="D155" t="s">
        <v>111</v>
      </c>
      <c r="G155" s="1">
        <v>46209</v>
      </c>
      <c r="H155">
        <v>9</v>
      </c>
      <c r="I155" t="s">
        <v>98</v>
      </c>
      <c r="J155" t="s">
        <v>111</v>
      </c>
      <c r="K155" t="s">
        <v>251</v>
      </c>
      <c r="L155">
        <f t="shared" si="8"/>
        <v>1</v>
      </c>
    </row>
    <row r="156" spans="1:12" hidden="1" x14ac:dyDescent="0.3">
      <c r="A156" s="1">
        <v>46209</v>
      </c>
      <c r="B156">
        <v>8.5</v>
      </c>
      <c r="C156" t="s">
        <v>10</v>
      </c>
      <c r="D156" t="s">
        <v>12</v>
      </c>
      <c r="E156" t="s">
        <v>141</v>
      </c>
      <c r="G156" s="1">
        <v>46209</v>
      </c>
      <c r="H156">
        <v>8.5</v>
      </c>
      <c r="I156" t="s">
        <v>10</v>
      </c>
      <c r="J156" t="s">
        <v>12</v>
      </c>
      <c r="K156" s="27" t="str">
        <f t="shared" ref="K156:K157" si="9">E156</f>
        <v>Бисенов</v>
      </c>
      <c r="L156">
        <f t="shared" si="8"/>
        <v>1</v>
      </c>
    </row>
    <row r="157" spans="1:12" hidden="1" x14ac:dyDescent="0.3">
      <c r="A157" s="1">
        <v>46209</v>
      </c>
      <c r="B157">
        <v>8.5</v>
      </c>
      <c r="C157" t="s">
        <v>10</v>
      </c>
      <c r="D157" s="23" t="s">
        <v>115</v>
      </c>
      <c r="E157" t="s">
        <v>140</v>
      </c>
      <c r="G157" s="1">
        <v>46209</v>
      </c>
      <c r="H157">
        <v>8.5</v>
      </c>
      <c r="I157" t="s">
        <v>10</v>
      </c>
      <c r="J157" s="27" t="str">
        <f>D157</f>
        <v>178 AXD</v>
      </c>
      <c r="K157" s="27" t="str">
        <f t="shared" si="9"/>
        <v>Койшыбаев</v>
      </c>
      <c r="L157">
        <f t="shared" si="8"/>
        <v>1</v>
      </c>
    </row>
    <row r="158" spans="1:12" hidden="1" x14ac:dyDescent="0.3">
      <c r="A158" s="1">
        <v>46209</v>
      </c>
      <c r="B158">
        <v>10</v>
      </c>
      <c r="C158" t="s">
        <v>10</v>
      </c>
      <c r="D158" t="s">
        <v>8</v>
      </c>
      <c r="G158" s="1">
        <v>46209</v>
      </c>
      <c r="H158">
        <v>10</v>
      </c>
      <c r="I158" t="s">
        <v>10</v>
      </c>
      <c r="J158" t="s">
        <v>8</v>
      </c>
      <c r="K158" t="s">
        <v>142</v>
      </c>
      <c r="L158">
        <f t="shared" si="8"/>
        <v>1</v>
      </c>
    </row>
    <row r="159" spans="1:12" hidden="1" x14ac:dyDescent="0.3">
      <c r="A159" s="1">
        <v>46209</v>
      </c>
      <c r="B159">
        <v>10</v>
      </c>
      <c r="C159" t="s">
        <v>13</v>
      </c>
      <c r="D159" t="s">
        <v>14</v>
      </c>
      <c r="G159" s="1">
        <v>46209</v>
      </c>
      <c r="H159">
        <v>10</v>
      </c>
      <c r="I159" t="s">
        <v>13</v>
      </c>
      <c r="J159" t="s">
        <v>14</v>
      </c>
      <c r="K159" t="s">
        <v>208</v>
      </c>
      <c r="L159">
        <f t="shared" si="8"/>
        <v>1</v>
      </c>
    </row>
    <row r="160" spans="1:12" hidden="1" x14ac:dyDescent="0.3">
      <c r="A160" s="1">
        <v>46209</v>
      </c>
      <c r="B160">
        <v>10</v>
      </c>
      <c r="C160" t="s">
        <v>13</v>
      </c>
      <c r="D160" t="s">
        <v>15</v>
      </c>
      <c r="G160" s="1">
        <v>46209</v>
      </c>
      <c r="H160">
        <v>10</v>
      </c>
      <c r="I160" t="s">
        <v>13</v>
      </c>
      <c r="J160" s="27" t="str">
        <f>D160</f>
        <v>222 APD</v>
      </c>
      <c r="K160" t="s">
        <v>208</v>
      </c>
      <c r="L160">
        <f t="shared" si="8"/>
        <v>1</v>
      </c>
    </row>
    <row r="161" spans="1:12" hidden="1" x14ac:dyDescent="0.3">
      <c r="A161" s="1">
        <v>46209</v>
      </c>
      <c r="B161">
        <v>10</v>
      </c>
      <c r="C161" t="s">
        <v>13</v>
      </c>
      <c r="D161" t="s">
        <v>16</v>
      </c>
      <c r="E161" t="s">
        <v>191</v>
      </c>
      <c r="G161" s="1">
        <v>46209</v>
      </c>
      <c r="H161">
        <v>10</v>
      </c>
      <c r="I161" t="s">
        <v>13</v>
      </c>
      <c r="J161" t="s">
        <v>16</v>
      </c>
      <c r="K161" s="27" t="str">
        <f>E161</f>
        <v>Абылхаиров</v>
      </c>
      <c r="L161">
        <f t="shared" si="8"/>
        <v>1</v>
      </c>
    </row>
    <row r="162" spans="1:12" hidden="1" x14ac:dyDescent="0.3">
      <c r="A162" s="1">
        <v>46209</v>
      </c>
      <c r="B162">
        <v>10</v>
      </c>
      <c r="C162" t="s">
        <v>13</v>
      </c>
      <c r="D162" t="s">
        <v>17</v>
      </c>
      <c r="G162" s="1">
        <v>46209</v>
      </c>
      <c r="H162">
        <v>10</v>
      </c>
      <c r="I162" t="s">
        <v>13</v>
      </c>
      <c r="J162" t="s">
        <v>17</v>
      </c>
      <c r="K162" t="s">
        <v>191</v>
      </c>
      <c r="L162">
        <f t="shared" si="8"/>
        <v>1</v>
      </c>
    </row>
    <row r="163" spans="1:12" hidden="1" x14ac:dyDescent="0.3">
      <c r="A163" s="1">
        <v>46209</v>
      </c>
      <c r="B163">
        <v>10</v>
      </c>
      <c r="C163" t="s">
        <v>13</v>
      </c>
      <c r="D163" t="s">
        <v>102</v>
      </c>
      <c r="G163" s="1">
        <v>46209</v>
      </c>
      <c r="H163">
        <v>10</v>
      </c>
      <c r="I163" t="s">
        <v>13</v>
      </c>
      <c r="J163" t="s">
        <v>102</v>
      </c>
      <c r="K163" t="s">
        <v>191</v>
      </c>
      <c r="L163">
        <f t="shared" si="8"/>
        <v>1</v>
      </c>
    </row>
    <row r="164" spans="1:12" hidden="1" x14ac:dyDescent="0.3">
      <c r="A164" s="1">
        <v>46209</v>
      </c>
      <c r="B164">
        <v>10</v>
      </c>
      <c r="C164" t="s">
        <v>13</v>
      </c>
      <c r="D164" t="s">
        <v>19</v>
      </c>
      <c r="G164" s="1">
        <v>46209</v>
      </c>
      <c r="H164">
        <v>10</v>
      </c>
      <c r="I164" t="s">
        <v>13</v>
      </c>
      <c r="J164" t="s">
        <v>19</v>
      </c>
      <c r="K164" t="s">
        <v>210</v>
      </c>
      <c r="L164">
        <f t="shared" si="8"/>
        <v>1</v>
      </c>
    </row>
    <row r="165" spans="1:12" hidden="1" x14ac:dyDescent="0.3">
      <c r="A165" s="1">
        <v>46209</v>
      </c>
      <c r="B165">
        <v>10</v>
      </c>
      <c r="C165" t="s">
        <v>13</v>
      </c>
      <c r="D165" t="s">
        <v>18</v>
      </c>
      <c r="G165" s="1">
        <v>46209</v>
      </c>
      <c r="H165">
        <v>10</v>
      </c>
      <c r="I165" t="s">
        <v>13</v>
      </c>
      <c r="J165" t="s">
        <v>18</v>
      </c>
      <c r="K165" t="s">
        <v>212</v>
      </c>
      <c r="L165">
        <f t="shared" si="8"/>
        <v>1</v>
      </c>
    </row>
    <row r="166" spans="1:12" hidden="1" x14ac:dyDescent="0.3">
      <c r="A166" s="1">
        <v>46209</v>
      </c>
      <c r="B166">
        <v>10</v>
      </c>
      <c r="C166" t="s">
        <v>13</v>
      </c>
      <c r="D166" t="s">
        <v>20</v>
      </c>
      <c r="G166" s="1">
        <v>46209</v>
      </c>
      <c r="H166">
        <v>10</v>
      </c>
      <c r="I166" t="s">
        <v>13</v>
      </c>
      <c r="J166" t="s">
        <v>20</v>
      </c>
      <c r="K166" t="s">
        <v>209</v>
      </c>
      <c r="L166">
        <f t="shared" si="8"/>
        <v>1</v>
      </c>
    </row>
    <row r="167" spans="1:12" hidden="1" x14ac:dyDescent="0.3">
      <c r="A167" s="1">
        <v>46209</v>
      </c>
      <c r="B167">
        <v>10</v>
      </c>
      <c r="C167" t="s">
        <v>13</v>
      </c>
      <c r="D167" t="s">
        <v>112</v>
      </c>
      <c r="G167" s="1">
        <v>46209</v>
      </c>
      <c r="H167">
        <v>10</v>
      </c>
      <c r="I167" t="s">
        <v>13</v>
      </c>
      <c r="J167" t="s">
        <v>112</v>
      </c>
      <c r="K167" t="s">
        <v>211</v>
      </c>
      <c r="L167">
        <f t="shared" si="8"/>
        <v>1</v>
      </c>
    </row>
    <row r="168" spans="1:12" x14ac:dyDescent="0.3">
      <c r="A168" s="1">
        <v>46209</v>
      </c>
      <c r="B168">
        <v>2</v>
      </c>
      <c r="C168" t="s">
        <v>21</v>
      </c>
      <c r="D168" t="s">
        <v>23</v>
      </c>
      <c r="G168" s="1">
        <v>46209</v>
      </c>
      <c r="H168">
        <v>2</v>
      </c>
      <c r="I168" t="s">
        <v>21</v>
      </c>
      <c r="J168" t="s">
        <v>23</v>
      </c>
      <c r="L168">
        <f t="shared" si="8"/>
        <v>1</v>
      </c>
    </row>
    <row r="169" spans="1:12" hidden="1" x14ac:dyDescent="0.3">
      <c r="A169" s="1">
        <v>46209</v>
      </c>
      <c r="B169">
        <v>8</v>
      </c>
      <c r="C169" t="s">
        <v>25</v>
      </c>
      <c r="D169" t="s">
        <v>93</v>
      </c>
      <c r="G169" s="1">
        <v>46209</v>
      </c>
      <c r="H169">
        <v>8</v>
      </c>
      <c r="I169" t="s">
        <v>25</v>
      </c>
      <c r="J169" t="s">
        <v>93</v>
      </c>
      <c r="L169">
        <f t="shared" si="8"/>
        <v>1</v>
      </c>
    </row>
    <row r="170" spans="1:12" hidden="1" x14ac:dyDescent="0.3">
      <c r="A170" s="1">
        <v>46209</v>
      </c>
      <c r="B170">
        <v>10</v>
      </c>
      <c r="C170" t="s">
        <v>21</v>
      </c>
      <c r="D170" t="s">
        <v>47</v>
      </c>
      <c r="G170" s="1">
        <v>46209</v>
      </c>
      <c r="H170">
        <v>10</v>
      </c>
      <c r="I170" t="s">
        <v>21</v>
      </c>
      <c r="J170" t="s">
        <v>47</v>
      </c>
      <c r="K170" t="s">
        <v>203</v>
      </c>
      <c r="L170">
        <f t="shared" si="8"/>
        <v>1</v>
      </c>
    </row>
    <row r="171" spans="1:12" hidden="1" x14ac:dyDescent="0.3">
      <c r="A171" s="1">
        <v>46209</v>
      </c>
      <c r="B171">
        <v>10</v>
      </c>
      <c r="C171" t="s">
        <v>21</v>
      </c>
      <c r="D171" t="s">
        <v>44</v>
      </c>
      <c r="G171" s="1">
        <v>46209</v>
      </c>
      <c r="H171">
        <v>10</v>
      </c>
      <c r="I171" t="s">
        <v>21</v>
      </c>
      <c r="J171" t="s">
        <v>44</v>
      </c>
      <c r="K171" t="s">
        <v>257</v>
      </c>
      <c r="L171">
        <f t="shared" si="8"/>
        <v>1</v>
      </c>
    </row>
    <row r="172" spans="1:12" hidden="1" x14ac:dyDescent="0.3">
      <c r="A172" s="1">
        <v>46209</v>
      </c>
      <c r="B172">
        <v>10</v>
      </c>
      <c r="C172" t="s">
        <v>25</v>
      </c>
      <c r="D172" t="s">
        <v>32</v>
      </c>
      <c r="G172" s="1">
        <v>46209</v>
      </c>
      <c r="H172">
        <v>10</v>
      </c>
      <c r="I172" t="s">
        <v>25</v>
      </c>
      <c r="J172" t="s">
        <v>32</v>
      </c>
      <c r="L172">
        <f t="shared" si="8"/>
        <v>1</v>
      </c>
    </row>
    <row r="173" spans="1:12" hidden="1" x14ac:dyDescent="0.3">
      <c r="A173" s="1">
        <v>46209</v>
      </c>
      <c r="B173">
        <v>10</v>
      </c>
      <c r="C173" t="s">
        <v>21</v>
      </c>
      <c r="D173" t="s">
        <v>34</v>
      </c>
      <c r="G173" s="1">
        <v>46209</v>
      </c>
      <c r="H173">
        <v>10</v>
      </c>
      <c r="I173" t="s">
        <v>21</v>
      </c>
      <c r="J173" t="s">
        <v>34</v>
      </c>
      <c r="K173" t="s">
        <v>201</v>
      </c>
      <c r="L173">
        <f t="shared" si="8"/>
        <v>1</v>
      </c>
    </row>
    <row r="174" spans="1:12" hidden="1" x14ac:dyDescent="0.3">
      <c r="A174" s="1">
        <v>46209</v>
      </c>
      <c r="B174">
        <v>10</v>
      </c>
      <c r="C174" t="s">
        <v>21</v>
      </c>
      <c r="D174" t="s">
        <v>22</v>
      </c>
      <c r="G174" s="1">
        <v>46209</v>
      </c>
      <c r="H174">
        <v>10</v>
      </c>
      <c r="I174" t="s">
        <v>21</v>
      </c>
      <c r="J174" t="s">
        <v>22</v>
      </c>
      <c r="K174" t="s">
        <v>221</v>
      </c>
      <c r="L174">
        <f t="shared" si="8"/>
        <v>1</v>
      </c>
    </row>
    <row r="175" spans="1:12" hidden="1" x14ac:dyDescent="0.3">
      <c r="A175" s="1">
        <v>46209</v>
      </c>
      <c r="B175">
        <v>10</v>
      </c>
      <c r="C175" t="s">
        <v>21</v>
      </c>
      <c r="D175" t="s">
        <v>28</v>
      </c>
      <c r="G175" s="1">
        <v>46209</v>
      </c>
      <c r="H175">
        <v>10</v>
      </c>
      <c r="I175" t="s">
        <v>21</v>
      </c>
      <c r="J175" t="s">
        <v>28</v>
      </c>
      <c r="L175">
        <f t="shared" si="8"/>
        <v>1</v>
      </c>
    </row>
    <row r="176" spans="1:12" hidden="1" x14ac:dyDescent="0.3">
      <c r="A176" s="1">
        <v>46209</v>
      </c>
      <c r="B176">
        <v>10</v>
      </c>
      <c r="C176" t="s">
        <v>21</v>
      </c>
      <c r="D176" t="s">
        <v>24</v>
      </c>
      <c r="G176" s="1">
        <v>46209</v>
      </c>
      <c r="H176">
        <v>10</v>
      </c>
      <c r="I176" t="s">
        <v>21</v>
      </c>
      <c r="J176" t="s">
        <v>24</v>
      </c>
      <c r="K176" t="s">
        <v>204</v>
      </c>
      <c r="L176">
        <f t="shared" si="8"/>
        <v>1</v>
      </c>
    </row>
    <row r="177" spans="1:12" hidden="1" x14ac:dyDescent="0.3">
      <c r="A177" s="1">
        <v>46209</v>
      </c>
      <c r="B177">
        <v>10</v>
      </c>
      <c r="C177" t="s">
        <v>25</v>
      </c>
      <c r="D177" t="s">
        <v>33</v>
      </c>
      <c r="G177" s="1">
        <v>46209</v>
      </c>
      <c r="H177">
        <v>10</v>
      </c>
      <c r="I177" s="23" t="s">
        <v>25</v>
      </c>
      <c r="J177" t="s">
        <v>33</v>
      </c>
      <c r="K177" t="s">
        <v>254</v>
      </c>
      <c r="L177">
        <f t="shared" si="8"/>
        <v>1</v>
      </c>
    </row>
    <row r="178" spans="1:12" hidden="1" x14ac:dyDescent="0.3">
      <c r="A178" s="1">
        <v>46209</v>
      </c>
      <c r="B178">
        <v>10</v>
      </c>
      <c r="C178" t="s">
        <v>21</v>
      </c>
      <c r="D178" t="s">
        <v>92</v>
      </c>
      <c r="G178" s="1">
        <v>46209</v>
      </c>
      <c r="H178">
        <v>10</v>
      </c>
      <c r="I178" t="s">
        <v>21</v>
      </c>
      <c r="J178" t="s">
        <v>92</v>
      </c>
      <c r="K178" t="s">
        <v>213</v>
      </c>
      <c r="L178">
        <f t="shared" si="8"/>
        <v>1</v>
      </c>
    </row>
    <row r="179" spans="1:12" hidden="1" x14ac:dyDescent="0.3">
      <c r="A179" s="1">
        <v>46209</v>
      </c>
      <c r="B179">
        <v>10</v>
      </c>
      <c r="C179" t="s">
        <v>21</v>
      </c>
      <c r="D179" t="s">
        <v>59</v>
      </c>
      <c r="G179" s="1">
        <v>46209</v>
      </c>
      <c r="H179">
        <v>10</v>
      </c>
      <c r="I179" t="s">
        <v>21</v>
      </c>
      <c r="J179" t="s">
        <v>59</v>
      </c>
      <c r="L179">
        <f t="shared" si="8"/>
        <v>1</v>
      </c>
    </row>
    <row r="180" spans="1:12" hidden="1" x14ac:dyDescent="0.3">
      <c r="A180" s="1">
        <v>46209</v>
      </c>
      <c r="B180">
        <v>10</v>
      </c>
      <c r="C180" t="s">
        <v>25</v>
      </c>
      <c r="D180" t="s">
        <v>57</v>
      </c>
      <c r="G180" s="1">
        <v>46209</v>
      </c>
      <c r="H180">
        <v>10</v>
      </c>
      <c r="I180" t="s">
        <v>25</v>
      </c>
      <c r="J180" t="s">
        <v>57</v>
      </c>
      <c r="K180" t="s">
        <v>217</v>
      </c>
      <c r="L180">
        <f t="shared" si="8"/>
        <v>1</v>
      </c>
    </row>
    <row r="181" spans="1:12" hidden="1" x14ac:dyDescent="0.3">
      <c r="A181" s="1">
        <v>46209</v>
      </c>
      <c r="B181">
        <v>10</v>
      </c>
      <c r="C181" t="s">
        <v>21</v>
      </c>
      <c r="D181" t="s">
        <v>116</v>
      </c>
      <c r="G181" s="1">
        <v>46209</v>
      </c>
      <c r="H181">
        <v>10</v>
      </c>
      <c r="I181" t="s">
        <v>21</v>
      </c>
      <c r="J181" s="27" t="str">
        <f>D181</f>
        <v>023 INA</v>
      </c>
      <c r="L181">
        <f t="shared" si="8"/>
        <v>1</v>
      </c>
    </row>
    <row r="182" spans="1:12" hidden="1" x14ac:dyDescent="0.3">
      <c r="A182" s="1">
        <v>46209</v>
      </c>
      <c r="B182">
        <v>10</v>
      </c>
      <c r="C182" t="s">
        <v>25</v>
      </c>
      <c r="D182" t="s">
        <v>58</v>
      </c>
      <c r="G182" s="1">
        <v>46209</v>
      </c>
      <c r="H182">
        <v>10</v>
      </c>
      <c r="I182" t="s">
        <v>25</v>
      </c>
      <c r="J182" t="s">
        <v>58</v>
      </c>
      <c r="K182" t="s">
        <v>255</v>
      </c>
      <c r="L182">
        <f t="shared" si="8"/>
        <v>1</v>
      </c>
    </row>
    <row r="183" spans="1:12" hidden="1" x14ac:dyDescent="0.3">
      <c r="A183" s="1">
        <v>46209</v>
      </c>
      <c r="B183">
        <v>10</v>
      </c>
      <c r="C183" t="s">
        <v>90</v>
      </c>
      <c r="D183" t="s">
        <v>91</v>
      </c>
      <c r="G183" s="1">
        <v>46209</v>
      </c>
      <c r="H183">
        <v>10</v>
      </c>
      <c r="I183" t="s">
        <v>90</v>
      </c>
      <c r="J183" t="s">
        <v>91</v>
      </c>
      <c r="K183" t="s">
        <v>199</v>
      </c>
      <c r="L183">
        <f t="shared" si="8"/>
        <v>1</v>
      </c>
    </row>
    <row r="184" spans="1:12" hidden="1" x14ac:dyDescent="0.3">
      <c r="A184" s="1">
        <v>46209</v>
      </c>
      <c r="B184">
        <v>10</v>
      </c>
      <c r="C184" t="s">
        <v>43</v>
      </c>
      <c r="D184" t="s">
        <v>48</v>
      </c>
      <c r="G184" s="1">
        <v>46209</v>
      </c>
      <c r="H184">
        <v>10</v>
      </c>
      <c r="I184" t="s">
        <v>43</v>
      </c>
      <c r="J184" t="s">
        <v>48</v>
      </c>
      <c r="K184" t="s">
        <v>200</v>
      </c>
      <c r="L184">
        <f t="shared" si="8"/>
        <v>1</v>
      </c>
    </row>
    <row r="185" spans="1:12" hidden="1" x14ac:dyDescent="0.3">
      <c r="A185" s="1">
        <v>46209</v>
      </c>
      <c r="B185">
        <v>10</v>
      </c>
      <c r="C185" t="s">
        <v>21</v>
      </c>
      <c r="D185" t="s">
        <v>95</v>
      </c>
      <c r="E185" t="s">
        <v>190</v>
      </c>
      <c r="G185" s="1">
        <v>46209</v>
      </c>
      <c r="H185">
        <v>10</v>
      </c>
      <c r="I185" t="s">
        <v>21</v>
      </c>
      <c r="J185" t="s">
        <v>95</v>
      </c>
      <c r="K185" s="27" t="str">
        <f>E185</f>
        <v>Шаубаев</v>
      </c>
      <c r="L185">
        <f t="shared" si="8"/>
        <v>1</v>
      </c>
    </row>
    <row r="186" spans="1:12" hidden="1" x14ac:dyDescent="0.3">
      <c r="A186" s="1">
        <v>46209</v>
      </c>
      <c r="B186">
        <v>10</v>
      </c>
      <c r="C186" t="s">
        <v>25</v>
      </c>
      <c r="D186" t="s">
        <v>60</v>
      </c>
      <c r="G186" s="1">
        <v>46209</v>
      </c>
      <c r="H186">
        <v>10</v>
      </c>
      <c r="I186" t="s">
        <v>25</v>
      </c>
      <c r="J186" t="s">
        <v>60</v>
      </c>
      <c r="L186">
        <f t="shared" si="8"/>
        <v>1</v>
      </c>
    </row>
    <row r="187" spans="1:12" hidden="1" x14ac:dyDescent="0.3">
      <c r="A187" s="1">
        <v>46209</v>
      </c>
      <c r="B187">
        <v>10</v>
      </c>
      <c r="C187" t="s">
        <v>25</v>
      </c>
      <c r="D187" t="s">
        <v>26</v>
      </c>
      <c r="G187" s="1">
        <v>46209</v>
      </c>
      <c r="H187">
        <v>10</v>
      </c>
      <c r="I187" t="s">
        <v>25</v>
      </c>
      <c r="J187" t="s">
        <v>26</v>
      </c>
      <c r="L187">
        <f t="shared" si="8"/>
        <v>1</v>
      </c>
    </row>
    <row r="188" spans="1:12" hidden="1" x14ac:dyDescent="0.3">
      <c r="A188" s="1">
        <v>46209</v>
      </c>
      <c r="B188">
        <v>10</v>
      </c>
      <c r="C188" t="s">
        <v>21</v>
      </c>
      <c r="D188" t="s">
        <v>61</v>
      </c>
      <c r="G188" s="1">
        <v>46209</v>
      </c>
      <c r="H188">
        <v>10</v>
      </c>
      <c r="I188" t="s">
        <v>21</v>
      </c>
      <c r="J188" t="s">
        <v>61</v>
      </c>
      <c r="K188" t="s">
        <v>253</v>
      </c>
      <c r="L188">
        <f t="shared" si="8"/>
        <v>1</v>
      </c>
    </row>
    <row r="189" spans="1:12" hidden="1" x14ac:dyDescent="0.3">
      <c r="A189" s="1">
        <v>46209</v>
      </c>
      <c r="B189">
        <v>10</v>
      </c>
      <c r="C189" t="s">
        <v>96</v>
      </c>
      <c r="D189" t="s">
        <v>97</v>
      </c>
      <c r="G189" s="1">
        <v>46209</v>
      </c>
      <c r="H189">
        <v>10</v>
      </c>
      <c r="I189" t="s">
        <v>96</v>
      </c>
      <c r="J189" t="s">
        <v>97</v>
      </c>
      <c r="K189" t="s">
        <v>190</v>
      </c>
      <c r="L189">
        <f t="shared" si="8"/>
        <v>1</v>
      </c>
    </row>
    <row r="190" spans="1:12" hidden="1" x14ac:dyDescent="0.3">
      <c r="A190" s="1">
        <v>46209</v>
      </c>
      <c r="B190">
        <v>10</v>
      </c>
      <c r="C190" t="s">
        <v>25</v>
      </c>
      <c r="D190" t="s">
        <v>46</v>
      </c>
      <c r="G190" s="1">
        <v>46209</v>
      </c>
      <c r="H190">
        <v>10</v>
      </c>
      <c r="I190" t="s">
        <v>25</v>
      </c>
      <c r="J190" t="s">
        <v>46</v>
      </c>
      <c r="K190" t="s">
        <v>248</v>
      </c>
      <c r="L190">
        <f t="shared" si="8"/>
        <v>1</v>
      </c>
    </row>
    <row r="191" spans="1:12" hidden="1" x14ac:dyDescent="0.3">
      <c r="A191" s="1">
        <v>46209</v>
      </c>
      <c r="B191">
        <v>10</v>
      </c>
      <c r="C191" t="s">
        <v>105</v>
      </c>
      <c r="D191" t="s">
        <v>106</v>
      </c>
      <c r="G191" s="1">
        <v>46209</v>
      </c>
      <c r="H191">
        <v>10</v>
      </c>
      <c r="I191" t="s">
        <v>105</v>
      </c>
      <c r="J191" t="s">
        <v>106</v>
      </c>
      <c r="K191" t="s">
        <v>205</v>
      </c>
      <c r="L191">
        <f t="shared" si="8"/>
        <v>1</v>
      </c>
    </row>
    <row r="192" spans="1:12" hidden="1" x14ac:dyDescent="0.3">
      <c r="A192" s="1">
        <v>46209</v>
      </c>
      <c r="B192">
        <v>6</v>
      </c>
      <c r="C192" t="s">
        <v>105</v>
      </c>
      <c r="D192" t="s">
        <v>110</v>
      </c>
      <c r="G192" s="1">
        <v>46209</v>
      </c>
      <c r="H192">
        <v>6</v>
      </c>
      <c r="I192" t="s">
        <v>105</v>
      </c>
      <c r="J192" t="s">
        <v>110</v>
      </c>
      <c r="K192" t="s">
        <v>252</v>
      </c>
      <c r="L192">
        <f t="shared" si="8"/>
        <v>1</v>
      </c>
    </row>
    <row r="193" spans="1:12" hidden="1" x14ac:dyDescent="0.3">
      <c r="A193" s="1">
        <v>46209</v>
      </c>
      <c r="B193">
        <v>10</v>
      </c>
      <c r="C193" t="s">
        <v>9</v>
      </c>
      <c r="D193" t="s">
        <v>7</v>
      </c>
      <c r="E193" t="s">
        <v>137</v>
      </c>
      <c r="G193" s="1">
        <v>46209</v>
      </c>
      <c r="H193">
        <v>10</v>
      </c>
      <c r="I193" t="s">
        <v>9</v>
      </c>
      <c r="J193" s="27" t="str">
        <f>D193</f>
        <v>795 AED</v>
      </c>
      <c r="K193" s="27" t="str">
        <f t="shared" ref="K193:K194" si="10">E193</f>
        <v>Шугуров</v>
      </c>
      <c r="L193">
        <f t="shared" si="8"/>
        <v>1</v>
      </c>
    </row>
    <row r="194" spans="1:12" hidden="1" x14ac:dyDescent="0.3">
      <c r="A194" s="1">
        <v>46210</v>
      </c>
      <c r="B194">
        <v>10</v>
      </c>
      <c r="C194" t="s">
        <v>98</v>
      </c>
      <c r="D194" t="s">
        <v>99</v>
      </c>
      <c r="E194" t="s">
        <v>134</v>
      </c>
      <c r="G194" s="1">
        <v>46210</v>
      </c>
      <c r="H194">
        <v>10</v>
      </c>
      <c r="I194" t="s">
        <v>98</v>
      </c>
      <c r="J194" t="s">
        <v>99</v>
      </c>
      <c r="K194" s="27" t="str">
        <f t="shared" si="10"/>
        <v xml:space="preserve">Абитов </v>
      </c>
      <c r="L194">
        <f t="shared" si="8"/>
        <v>1</v>
      </c>
    </row>
    <row r="195" spans="1:12" hidden="1" x14ac:dyDescent="0.3">
      <c r="A195" s="1">
        <v>46210</v>
      </c>
      <c r="B195">
        <v>10</v>
      </c>
      <c r="C195" t="s">
        <v>98</v>
      </c>
      <c r="D195" t="s">
        <v>111</v>
      </c>
      <c r="G195" s="1">
        <v>46210</v>
      </c>
      <c r="H195">
        <v>10</v>
      </c>
      <c r="I195" t="s">
        <v>98</v>
      </c>
      <c r="J195" t="s">
        <v>111</v>
      </c>
      <c r="K195" t="s">
        <v>251</v>
      </c>
      <c r="L195">
        <f t="shared" ref="L195:L258" si="11">IF(J195=D195,1,0)</f>
        <v>1</v>
      </c>
    </row>
    <row r="196" spans="1:12" hidden="1" x14ac:dyDescent="0.3">
      <c r="A196" s="1">
        <v>46210</v>
      </c>
      <c r="B196">
        <v>10</v>
      </c>
      <c r="C196" t="s">
        <v>98</v>
      </c>
      <c r="D196" t="s">
        <v>113</v>
      </c>
      <c r="E196" t="s">
        <v>135</v>
      </c>
      <c r="G196" s="1">
        <v>46210</v>
      </c>
      <c r="H196">
        <v>10</v>
      </c>
      <c r="I196" t="s">
        <v>98</v>
      </c>
      <c r="J196" t="s">
        <v>113</v>
      </c>
      <c r="K196" s="27" t="str">
        <f t="shared" ref="K196:K198" si="12">E196</f>
        <v>БАймурзин</v>
      </c>
      <c r="L196">
        <f t="shared" si="11"/>
        <v>1</v>
      </c>
    </row>
    <row r="197" spans="1:12" hidden="1" x14ac:dyDescent="0.3">
      <c r="A197" s="1">
        <v>46210</v>
      </c>
      <c r="B197">
        <v>10</v>
      </c>
      <c r="C197" t="s">
        <v>98</v>
      </c>
      <c r="D197" t="s">
        <v>114</v>
      </c>
      <c r="E197" t="s">
        <v>136</v>
      </c>
      <c r="G197" s="1">
        <v>46210</v>
      </c>
      <c r="H197">
        <v>10</v>
      </c>
      <c r="I197" t="s">
        <v>98</v>
      </c>
      <c r="J197" t="s">
        <v>114</v>
      </c>
      <c r="K197" s="27" t="str">
        <f t="shared" si="12"/>
        <v>Балгазин</v>
      </c>
      <c r="L197">
        <f t="shared" si="11"/>
        <v>1</v>
      </c>
    </row>
    <row r="198" spans="1:12" hidden="1" x14ac:dyDescent="0.3">
      <c r="A198" s="1">
        <v>46210</v>
      </c>
      <c r="B198">
        <v>10</v>
      </c>
      <c r="C198" t="s">
        <v>9</v>
      </c>
      <c r="D198" t="s">
        <v>7</v>
      </c>
      <c r="E198" t="s">
        <v>137</v>
      </c>
      <c r="G198" s="1">
        <v>46210</v>
      </c>
      <c r="H198">
        <v>10</v>
      </c>
      <c r="I198" t="s">
        <v>9</v>
      </c>
      <c r="J198" t="s">
        <v>7</v>
      </c>
      <c r="K198" s="27" t="str">
        <f t="shared" si="12"/>
        <v>Шугуров</v>
      </c>
      <c r="L198">
        <f t="shared" si="11"/>
        <v>1</v>
      </c>
    </row>
    <row r="199" spans="1:12" hidden="1" x14ac:dyDescent="0.3">
      <c r="A199" s="1">
        <v>46210</v>
      </c>
      <c r="B199">
        <v>10</v>
      </c>
      <c r="C199" t="s">
        <v>9</v>
      </c>
      <c r="G199" s="1">
        <v>46210</v>
      </c>
      <c r="H199">
        <v>10</v>
      </c>
      <c r="I199" t="s">
        <v>9</v>
      </c>
      <c r="L199">
        <f t="shared" si="11"/>
        <v>1</v>
      </c>
    </row>
    <row r="200" spans="1:12" hidden="1" x14ac:dyDescent="0.3">
      <c r="A200" s="1">
        <v>46210</v>
      </c>
      <c r="B200">
        <v>10</v>
      </c>
      <c r="C200" t="s">
        <v>10</v>
      </c>
      <c r="D200" t="s">
        <v>12</v>
      </c>
      <c r="E200" t="s">
        <v>141</v>
      </c>
      <c r="G200" s="1">
        <v>46210</v>
      </c>
      <c r="H200">
        <v>10</v>
      </c>
      <c r="I200" t="s">
        <v>10</v>
      </c>
      <c r="J200" t="s">
        <v>12</v>
      </c>
      <c r="K200" s="27" t="str">
        <f t="shared" ref="K200:K201" si="13">E200</f>
        <v>Бисенов</v>
      </c>
      <c r="L200">
        <f t="shared" si="11"/>
        <v>1</v>
      </c>
    </row>
    <row r="201" spans="1:12" hidden="1" x14ac:dyDescent="0.3">
      <c r="A201" s="1">
        <v>46210</v>
      </c>
      <c r="B201">
        <v>10</v>
      </c>
      <c r="C201" t="s">
        <v>10</v>
      </c>
      <c r="D201" t="s">
        <v>115</v>
      </c>
      <c r="E201" t="s">
        <v>140</v>
      </c>
      <c r="G201" s="1">
        <v>46210</v>
      </c>
      <c r="H201">
        <v>10</v>
      </c>
      <c r="I201" t="s">
        <v>10</v>
      </c>
      <c r="J201" t="s">
        <v>115</v>
      </c>
      <c r="K201" s="27" t="str">
        <f t="shared" si="13"/>
        <v>Койшыбаев</v>
      </c>
      <c r="L201">
        <f t="shared" si="11"/>
        <v>1</v>
      </c>
    </row>
    <row r="202" spans="1:12" hidden="1" x14ac:dyDescent="0.3">
      <c r="A202" s="1">
        <v>46210</v>
      </c>
      <c r="B202">
        <v>10</v>
      </c>
      <c r="C202" t="s">
        <v>10</v>
      </c>
      <c r="D202" t="s">
        <v>8</v>
      </c>
      <c r="G202" s="1">
        <v>46210</v>
      </c>
      <c r="H202">
        <v>10</v>
      </c>
      <c r="I202" t="s">
        <v>10</v>
      </c>
      <c r="J202" t="s">
        <v>8</v>
      </c>
      <c r="K202" t="s">
        <v>142</v>
      </c>
      <c r="L202">
        <f t="shared" si="11"/>
        <v>1</v>
      </c>
    </row>
    <row r="203" spans="1:12" hidden="1" x14ac:dyDescent="0.3">
      <c r="A203" s="1">
        <v>46210</v>
      </c>
      <c r="B203">
        <v>10</v>
      </c>
      <c r="C203" t="s">
        <v>13</v>
      </c>
      <c r="D203" t="s">
        <v>14</v>
      </c>
      <c r="G203" s="1">
        <v>46210</v>
      </c>
      <c r="H203">
        <v>10</v>
      </c>
      <c r="I203" t="s">
        <v>13</v>
      </c>
      <c r="J203" t="s">
        <v>14</v>
      </c>
      <c r="K203" t="s">
        <v>208</v>
      </c>
      <c r="L203">
        <f t="shared" si="11"/>
        <v>1</v>
      </c>
    </row>
    <row r="204" spans="1:12" hidden="1" x14ac:dyDescent="0.3">
      <c r="A204" s="1">
        <v>46210</v>
      </c>
      <c r="B204">
        <v>10</v>
      </c>
      <c r="C204" t="s">
        <v>13</v>
      </c>
      <c r="D204" t="s">
        <v>15</v>
      </c>
      <c r="G204" s="1">
        <v>46210</v>
      </c>
      <c r="H204">
        <v>10</v>
      </c>
      <c r="I204" t="s">
        <v>13</v>
      </c>
      <c r="J204" s="27" t="str">
        <f>D204</f>
        <v>222 APD</v>
      </c>
      <c r="K204" t="s">
        <v>208</v>
      </c>
      <c r="L204">
        <f t="shared" si="11"/>
        <v>1</v>
      </c>
    </row>
    <row r="205" spans="1:12" hidden="1" x14ac:dyDescent="0.3">
      <c r="A205" s="1">
        <v>46210</v>
      </c>
      <c r="B205">
        <v>10</v>
      </c>
      <c r="C205" t="s">
        <v>13</v>
      </c>
      <c r="D205" t="s">
        <v>20</v>
      </c>
      <c r="G205" s="1">
        <v>46210</v>
      </c>
      <c r="H205">
        <v>10</v>
      </c>
      <c r="I205" t="s">
        <v>13</v>
      </c>
      <c r="J205" t="s">
        <v>20</v>
      </c>
      <c r="K205" t="s">
        <v>209</v>
      </c>
      <c r="L205">
        <f t="shared" si="11"/>
        <v>1</v>
      </c>
    </row>
    <row r="206" spans="1:12" hidden="1" x14ac:dyDescent="0.3">
      <c r="A206" s="1">
        <v>46210</v>
      </c>
      <c r="B206">
        <v>10</v>
      </c>
      <c r="C206" t="s">
        <v>13</v>
      </c>
      <c r="D206" t="s">
        <v>19</v>
      </c>
      <c r="G206" s="1">
        <v>46210</v>
      </c>
      <c r="H206">
        <v>10</v>
      </c>
      <c r="I206" t="s">
        <v>13</v>
      </c>
      <c r="J206" t="s">
        <v>19</v>
      </c>
      <c r="K206" t="s">
        <v>210</v>
      </c>
      <c r="L206">
        <f t="shared" si="11"/>
        <v>1</v>
      </c>
    </row>
    <row r="207" spans="1:12" hidden="1" x14ac:dyDescent="0.3">
      <c r="A207" s="1">
        <v>46210</v>
      </c>
      <c r="B207">
        <v>10</v>
      </c>
      <c r="C207" t="s">
        <v>13</v>
      </c>
      <c r="D207" t="s">
        <v>112</v>
      </c>
      <c r="G207" s="1">
        <v>46210</v>
      </c>
      <c r="H207">
        <v>10</v>
      </c>
      <c r="I207" t="s">
        <v>13</v>
      </c>
      <c r="J207" t="s">
        <v>112</v>
      </c>
      <c r="K207" t="s">
        <v>211</v>
      </c>
      <c r="L207">
        <f t="shared" si="11"/>
        <v>1</v>
      </c>
    </row>
    <row r="208" spans="1:12" hidden="1" x14ac:dyDescent="0.3">
      <c r="A208" s="1">
        <v>46210</v>
      </c>
      <c r="B208">
        <v>10</v>
      </c>
      <c r="C208" t="s">
        <v>13</v>
      </c>
      <c r="D208" t="s">
        <v>16</v>
      </c>
      <c r="E208" t="s">
        <v>191</v>
      </c>
      <c r="G208" s="1">
        <v>46210</v>
      </c>
      <c r="H208">
        <v>10</v>
      </c>
      <c r="I208" t="s">
        <v>13</v>
      </c>
      <c r="J208" t="s">
        <v>16</v>
      </c>
      <c r="K208" s="27" t="str">
        <f>E208</f>
        <v>Абылхаиров</v>
      </c>
      <c r="L208">
        <f t="shared" si="11"/>
        <v>1</v>
      </c>
    </row>
    <row r="209" spans="1:12" hidden="1" x14ac:dyDescent="0.3">
      <c r="A209" s="1">
        <v>46210</v>
      </c>
      <c r="B209">
        <v>10</v>
      </c>
      <c r="C209" t="s">
        <v>13</v>
      </c>
      <c r="D209" t="s">
        <v>17</v>
      </c>
      <c r="G209" s="1">
        <v>46210</v>
      </c>
      <c r="H209">
        <v>10</v>
      </c>
      <c r="I209" t="s">
        <v>13</v>
      </c>
      <c r="J209" t="s">
        <v>17</v>
      </c>
      <c r="K209" t="s">
        <v>191</v>
      </c>
      <c r="L209">
        <f t="shared" si="11"/>
        <v>1</v>
      </c>
    </row>
    <row r="210" spans="1:12" hidden="1" x14ac:dyDescent="0.3">
      <c r="A210" s="1">
        <v>46210</v>
      </c>
      <c r="B210">
        <v>10</v>
      </c>
      <c r="C210" t="s">
        <v>13</v>
      </c>
      <c r="D210" t="s">
        <v>102</v>
      </c>
      <c r="G210" s="1">
        <v>46210</v>
      </c>
      <c r="H210">
        <v>10</v>
      </c>
      <c r="I210" t="s">
        <v>13</v>
      </c>
      <c r="J210" t="s">
        <v>102</v>
      </c>
      <c r="K210" t="s">
        <v>191</v>
      </c>
      <c r="L210">
        <f t="shared" si="11"/>
        <v>1</v>
      </c>
    </row>
    <row r="211" spans="1:12" hidden="1" x14ac:dyDescent="0.3">
      <c r="A211" s="1">
        <v>46210</v>
      </c>
      <c r="B211">
        <v>10</v>
      </c>
      <c r="C211" t="s">
        <v>13</v>
      </c>
      <c r="D211" t="s">
        <v>18</v>
      </c>
      <c r="G211" s="1">
        <v>46210</v>
      </c>
      <c r="H211">
        <v>10</v>
      </c>
      <c r="I211" t="s">
        <v>13</v>
      </c>
      <c r="J211" t="s">
        <v>18</v>
      </c>
      <c r="K211" t="s">
        <v>212</v>
      </c>
      <c r="L211">
        <f t="shared" si="11"/>
        <v>1</v>
      </c>
    </row>
    <row r="212" spans="1:12" hidden="1" x14ac:dyDescent="0.3">
      <c r="A212" s="1">
        <v>46210</v>
      </c>
      <c r="B212">
        <v>10</v>
      </c>
      <c r="C212" t="s">
        <v>11</v>
      </c>
      <c r="D212" t="s">
        <v>103</v>
      </c>
      <c r="E212" t="s">
        <v>143</v>
      </c>
      <c r="G212" s="1">
        <v>46210</v>
      </c>
      <c r="H212">
        <v>10</v>
      </c>
      <c r="I212" t="s">
        <v>11</v>
      </c>
      <c r="J212" s="27" t="str">
        <f t="shared" ref="J212:J213" si="14">D212</f>
        <v>089 AMD</v>
      </c>
      <c r="K212" s="27" t="str">
        <f>E212</f>
        <v>Саликов</v>
      </c>
      <c r="L212">
        <f t="shared" si="11"/>
        <v>1</v>
      </c>
    </row>
    <row r="213" spans="1:12" hidden="1" x14ac:dyDescent="0.3">
      <c r="A213" s="1">
        <v>46210</v>
      </c>
      <c r="B213">
        <v>10</v>
      </c>
      <c r="C213" t="s">
        <v>11</v>
      </c>
      <c r="D213" t="s">
        <v>107</v>
      </c>
      <c r="G213" s="1">
        <v>46210</v>
      </c>
      <c r="H213">
        <v>10</v>
      </c>
      <c r="I213" t="s">
        <v>11</v>
      </c>
      <c r="J213" s="27" t="str">
        <f t="shared" si="14"/>
        <v>013 AKD</v>
      </c>
      <c r="L213">
        <f t="shared" si="11"/>
        <v>1</v>
      </c>
    </row>
    <row r="214" spans="1:12" hidden="1" x14ac:dyDescent="0.3">
      <c r="A214" s="1">
        <v>46210</v>
      </c>
      <c r="B214">
        <v>10</v>
      </c>
      <c r="C214" t="s">
        <v>25</v>
      </c>
      <c r="D214" t="s">
        <v>32</v>
      </c>
      <c r="G214" s="1">
        <v>46210</v>
      </c>
      <c r="H214">
        <v>10</v>
      </c>
      <c r="I214" t="s">
        <v>25</v>
      </c>
      <c r="J214" t="s">
        <v>32</v>
      </c>
      <c r="L214">
        <f t="shared" si="11"/>
        <v>1</v>
      </c>
    </row>
    <row r="215" spans="1:12" hidden="1" x14ac:dyDescent="0.3">
      <c r="A215" s="1">
        <v>46210</v>
      </c>
      <c r="B215">
        <v>10</v>
      </c>
      <c r="C215" t="s">
        <v>21</v>
      </c>
      <c r="D215" t="s">
        <v>92</v>
      </c>
      <c r="G215" s="1">
        <v>46210</v>
      </c>
      <c r="H215">
        <v>10</v>
      </c>
      <c r="I215" t="s">
        <v>21</v>
      </c>
      <c r="J215" t="s">
        <v>92</v>
      </c>
      <c r="K215" t="s">
        <v>213</v>
      </c>
      <c r="L215">
        <f t="shared" si="11"/>
        <v>1</v>
      </c>
    </row>
    <row r="216" spans="1:12" hidden="1" x14ac:dyDescent="0.3">
      <c r="A216" s="1">
        <v>46210</v>
      </c>
      <c r="B216">
        <v>10</v>
      </c>
      <c r="C216" t="s">
        <v>21</v>
      </c>
      <c r="D216" t="s">
        <v>28</v>
      </c>
      <c r="G216" s="1">
        <v>46210</v>
      </c>
      <c r="H216">
        <v>10</v>
      </c>
      <c r="I216" t="s">
        <v>21</v>
      </c>
      <c r="J216" t="s">
        <v>28</v>
      </c>
      <c r="L216">
        <f t="shared" si="11"/>
        <v>1</v>
      </c>
    </row>
    <row r="217" spans="1:12" hidden="1" x14ac:dyDescent="0.3">
      <c r="A217" s="1">
        <v>46210</v>
      </c>
      <c r="B217">
        <v>10</v>
      </c>
      <c r="C217" t="s">
        <v>25</v>
      </c>
      <c r="D217" t="s">
        <v>60</v>
      </c>
      <c r="G217" s="1">
        <v>46210</v>
      </c>
      <c r="H217">
        <v>10</v>
      </c>
      <c r="I217" t="s">
        <v>25</v>
      </c>
      <c r="J217" t="s">
        <v>60</v>
      </c>
      <c r="L217">
        <f t="shared" si="11"/>
        <v>1</v>
      </c>
    </row>
    <row r="218" spans="1:12" hidden="1" x14ac:dyDescent="0.3">
      <c r="A218" s="1">
        <v>46210</v>
      </c>
      <c r="B218">
        <v>10</v>
      </c>
      <c r="C218" t="s">
        <v>21</v>
      </c>
      <c r="D218" t="s">
        <v>116</v>
      </c>
      <c r="G218" s="1">
        <v>46210</v>
      </c>
      <c r="H218">
        <v>10</v>
      </c>
      <c r="I218" t="s">
        <v>21</v>
      </c>
      <c r="J218" t="s">
        <v>116</v>
      </c>
      <c r="L218">
        <f t="shared" si="11"/>
        <v>1</v>
      </c>
    </row>
    <row r="219" spans="1:12" hidden="1" x14ac:dyDescent="0.3">
      <c r="A219" s="1">
        <v>46210</v>
      </c>
      <c r="B219">
        <v>10</v>
      </c>
      <c r="C219" t="s">
        <v>21</v>
      </c>
      <c r="D219" t="s">
        <v>44</v>
      </c>
      <c r="G219" s="1">
        <v>46210</v>
      </c>
      <c r="H219">
        <v>10</v>
      </c>
      <c r="I219" t="s">
        <v>21</v>
      </c>
      <c r="J219" t="s">
        <v>44</v>
      </c>
      <c r="K219" t="s">
        <v>257</v>
      </c>
      <c r="L219">
        <f t="shared" si="11"/>
        <v>1</v>
      </c>
    </row>
    <row r="220" spans="1:12" hidden="1" x14ac:dyDescent="0.3">
      <c r="A220" s="1">
        <v>46210</v>
      </c>
      <c r="B220">
        <v>10</v>
      </c>
      <c r="C220" t="s">
        <v>90</v>
      </c>
      <c r="D220" t="s">
        <v>91</v>
      </c>
      <c r="G220" s="1">
        <v>46210</v>
      </c>
      <c r="H220">
        <v>10</v>
      </c>
      <c r="I220" t="s">
        <v>90</v>
      </c>
      <c r="J220" t="s">
        <v>91</v>
      </c>
      <c r="K220" t="s">
        <v>199</v>
      </c>
      <c r="L220">
        <f t="shared" si="11"/>
        <v>1</v>
      </c>
    </row>
    <row r="221" spans="1:12" x14ac:dyDescent="0.3">
      <c r="A221" s="1">
        <v>46210</v>
      </c>
      <c r="B221">
        <v>9</v>
      </c>
      <c r="C221" t="s">
        <v>21</v>
      </c>
      <c r="D221" t="s">
        <v>23</v>
      </c>
      <c r="G221" s="1">
        <v>46210</v>
      </c>
      <c r="H221">
        <v>9</v>
      </c>
      <c r="I221" t="s">
        <v>21</v>
      </c>
      <c r="J221" t="s">
        <v>23</v>
      </c>
      <c r="L221">
        <f t="shared" si="11"/>
        <v>1</v>
      </c>
    </row>
    <row r="222" spans="1:12" hidden="1" x14ac:dyDescent="0.3">
      <c r="A222" s="1">
        <v>46210</v>
      </c>
      <c r="B222" s="6" t="s">
        <v>117</v>
      </c>
      <c r="C222" t="s">
        <v>21</v>
      </c>
      <c r="D222" t="s">
        <v>61</v>
      </c>
      <c r="G222" s="1">
        <v>46210</v>
      </c>
      <c r="H222">
        <v>8.75</v>
      </c>
      <c r="I222" t="s">
        <v>21</v>
      </c>
      <c r="J222" t="s">
        <v>61</v>
      </c>
      <c r="K222" t="s">
        <v>253</v>
      </c>
      <c r="L222">
        <f t="shared" si="11"/>
        <v>1</v>
      </c>
    </row>
    <row r="223" spans="1:12" hidden="1" x14ac:dyDescent="0.3">
      <c r="A223" s="1">
        <v>46210</v>
      </c>
      <c r="B223">
        <v>10</v>
      </c>
      <c r="D223" t="s">
        <v>118</v>
      </c>
      <c r="G223" s="1">
        <v>46210</v>
      </c>
      <c r="H223">
        <v>10</v>
      </c>
      <c r="J223" t="s">
        <v>118</v>
      </c>
      <c r="K223" t="s">
        <v>249</v>
      </c>
      <c r="L223">
        <f t="shared" si="11"/>
        <v>1</v>
      </c>
    </row>
    <row r="224" spans="1:12" hidden="1" x14ac:dyDescent="0.3">
      <c r="A224" s="1">
        <v>46210</v>
      </c>
      <c r="B224">
        <v>10</v>
      </c>
      <c r="C224" t="s">
        <v>21</v>
      </c>
      <c r="D224" t="s">
        <v>70</v>
      </c>
      <c r="G224" s="1">
        <v>46210</v>
      </c>
      <c r="H224">
        <v>10</v>
      </c>
      <c r="I224" t="s">
        <v>21</v>
      </c>
      <c r="J224" t="s">
        <v>70</v>
      </c>
      <c r="L224">
        <f t="shared" si="11"/>
        <v>1</v>
      </c>
    </row>
    <row r="225" spans="1:13" hidden="1" x14ac:dyDescent="0.3">
      <c r="A225" s="1">
        <v>46210</v>
      </c>
      <c r="B225">
        <v>10</v>
      </c>
      <c r="C225" t="s">
        <v>43</v>
      </c>
      <c r="D225" t="s">
        <v>48</v>
      </c>
      <c r="G225" s="1">
        <v>46210</v>
      </c>
      <c r="H225">
        <v>10</v>
      </c>
      <c r="I225" t="s">
        <v>43</v>
      </c>
      <c r="J225" t="s">
        <v>48</v>
      </c>
      <c r="K225" t="s">
        <v>200</v>
      </c>
      <c r="L225">
        <f t="shared" si="11"/>
        <v>1</v>
      </c>
    </row>
    <row r="226" spans="1:13" hidden="1" x14ac:dyDescent="0.3">
      <c r="A226" s="1">
        <v>46210</v>
      </c>
      <c r="B226">
        <v>10</v>
      </c>
      <c r="C226" t="s">
        <v>21</v>
      </c>
      <c r="D226" t="s">
        <v>95</v>
      </c>
      <c r="E226" t="s">
        <v>190</v>
      </c>
      <c r="G226" s="1">
        <v>46210</v>
      </c>
      <c r="H226">
        <v>10</v>
      </c>
      <c r="I226" t="s">
        <v>21</v>
      </c>
      <c r="J226" t="s">
        <v>95</v>
      </c>
      <c r="K226" t="s">
        <v>190</v>
      </c>
      <c r="L226">
        <f t="shared" si="11"/>
        <v>1</v>
      </c>
    </row>
    <row r="227" spans="1:13" hidden="1" x14ac:dyDescent="0.3">
      <c r="A227" s="1">
        <v>46210</v>
      </c>
      <c r="B227">
        <v>10</v>
      </c>
      <c r="D227" t="s">
        <v>34</v>
      </c>
      <c r="G227" s="1">
        <v>46210</v>
      </c>
      <c r="H227">
        <v>10</v>
      </c>
      <c r="I227" t="s">
        <v>21</v>
      </c>
      <c r="J227" t="s">
        <v>34</v>
      </c>
      <c r="K227" t="s">
        <v>201</v>
      </c>
      <c r="L227">
        <f t="shared" si="11"/>
        <v>1</v>
      </c>
    </row>
    <row r="228" spans="1:13" hidden="1" x14ac:dyDescent="0.3">
      <c r="A228" s="1">
        <v>46210</v>
      </c>
      <c r="B228">
        <v>10</v>
      </c>
      <c r="C228" t="s">
        <v>21</v>
      </c>
      <c r="D228" t="s">
        <v>33</v>
      </c>
      <c r="G228" s="1">
        <v>46210</v>
      </c>
      <c r="H228">
        <v>10</v>
      </c>
      <c r="I228" s="23" t="s">
        <v>21</v>
      </c>
      <c r="J228" t="s">
        <v>33</v>
      </c>
      <c r="K228" t="s">
        <v>202</v>
      </c>
      <c r="L228">
        <f t="shared" si="11"/>
        <v>1</v>
      </c>
    </row>
    <row r="229" spans="1:13" hidden="1" x14ac:dyDescent="0.3">
      <c r="A229" s="1">
        <v>46210</v>
      </c>
      <c r="B229">
        <v>10</v>
      </c>
      <c r="C229" t="s">
        <v>25</v>
      </c>
      <c r="D229" t="s">
        <v>57</v>
      </c>
      <c r="G229" s="1">
        <v>46210</v>
      </c>
      <c r="H229">
        <v>10</v>
      </c>
      <c r="I229" t="s">
        <v>25</v>
      </c>
      <c r="J229" t="s">
        <v>57</v>
      </c>
      <c r="K229" t="s">
        <v>217</v>
      </c>
      <c r="L229">
        <f t="shared" si="11"/>
        <v>1</v>
      </c>
    </row>
    <row r="230" spans="1:13" hidden="1" x14ac:dyDescent="0.3">
      <c r="A230" s="1">
        <v>46210</v>
      </c>
      <c r="B230">
        <v>10</v>
      </c>
      <c r="C230" t="s">
        <v>21</v>
      </c>
      <c r="D230" t="s">
        <v>47</v>
      </c>
      <c r="G230" s="1">
        <v>46210</v>
      </c>
      <c r="H230">
        <v>10</v>
      </c>
      <c r="I230" t="s">
        <v>21</v>
      </c>
      <c r="J230" t="s">
        <v>47</v>
      </c>
      <c r="K230" t="s">
        <v>203</v>
      </c>
      <c r="L230">
        <f t="shared" si="11"/>
        <v>1</v>
      </c>
    </row>
    <row r="231" spans="1:13" hidden="1" x14ac:dyDescent="0.3">
      <c r="A231" s="1">
        <v>46210</v>
      </c>
      <c r="B231">
        <v>10</v>
      </c>
      <c r="C231" t="s">
        <v>21</v>
      </c>
      <c r="D231" t="s">
        <v>22</v>
      </c>
      <c r="G231" s="1">
        <v>46210</v>
      </c>
      <c r="H231">
        <v>10</v>
      </c>
      <c r="I231" t="s">
        <v>21</v>
      </c>
      <c r="J231" t="s">
        <v>22</v>
      </c>
      <c r="K231" t="s">
        <v>221</v>
      </c>
      <c r="L231">
        <f t="shared" si="11"/>
        <v>1</v>
      </c>
    </row>
    <row r="232" spans="1:13" hidden="1" x14ac:dyDescent="0.3">
      <c r="A232" s="1">
        <v>46210</v>
      </c>
      <c r="B232" s="23">
        <v>10</v>
      </c>
      <c r="C232" s="23" t="s">
        <v>25</v>
      </c>
      <c r="D232" s="23" t="s">
        <v>119</v>
      </c>
      <c r="G232" s="1">
        <v>46210</v>
      </c>
      <c r="H232">
        <v>10</v>
      </c>
      <c r="I232" t="s">
        <v>25</v>
      </c>
      <c r="J232" t="s">
        <v>58</v>
      </c>
      <c r="K232" t="s">
        <v>255</v>
      </c>
      <c r="L232">
        <f t="shared" si="11"/>
        <v>0</v>
      </c>
      <c r="M232" t="s">
        <v>256</v>
      </c>
    </row>
    <row r="233" spans="1:13" hidden="1" x14ac:dyDescent="0.3">
      <c r="G233" s="1">
        <v>46210</v>
      </c>
      <c r="H233">
        <v>10</v>
      </c>
      <c r="I233" t="s">
        <v>21</v>
      </c>
      <c r="J233" s="7" t="s">
        <v>24</v>
      </c>
      <c r="K233" s="7" t="s">
        <v>204</v>
      </c>
      <c r="L233">
        <f t="shared" si="11"/>
        <v>0</v>
      </c>
    </row>
    <row r="234" spans="1:13" hidden="1" x14ac:dyDescent="0.3">
      <c r="G234" s="1">
        <v>46210</v>
      </c>
      <c r="H234">
        <v>10</v>
      </c>
      <c r="I234" t="s">
        <v>96</v>
      </c>
      <c r="J234" s="7" t="s">
        <v>97</v>
      </c>
      <c r="K234" s="7" t="s">
        <v>190</v>
      </c>
      <c r="L234">
        <f t="shared" si="11"/>
        <v>0</v>
      </c>
    </row>
    <row r="235" spans="1:13" hidden="1" x14ac:dyDescent="0.3">
      <c r="G235" s="1">
        <v>46210</v>
      </c>
      <c r="H235">
        <v>10</v>
      </c>
      <c r="I235" t="s">
        <v>105</v>
      </c>
      <c r="J235" s="7" t="s">
        <v>106</v>
      </c>
      <c r="K235" t="s">
        <v>205</v>
      </c>
      <c r="L235">
        <f t="shared" si="11"/>
        <v>0</v>
      </c>
    </row>
    <row r="236" spans="1:13" hidden="1" x14ac:dyDescent="0.3">
      <c r="G236" s="1">
        <v>46210</v>
      </c>
      <c r="H236">
        <v>10</v>
      </c>
      <c r="I236" t="s">
        <v>105</v>
      </c>
      <c r="J236" s="7" t="s">
        <v>110</v>
      </c>
      <c r="K236" t="s">
        <v>252</v>
      </c>
      <c r="L236">
        <f t="shared" si="11"/>
        <v>0</v>
      </c>
    </row>
    <row r="237" spans="1:13" hidden="1" x14ac:dyDescent="0.3">
      <c r="A237" s="1">
        <v>46211</v>
      </c>
      <c r="B237">
        <v>10</v>
      </c>
      <c r="C237" t="s">
        <v>98</v>
      </c>
      <c r="D237" t="s">
        <v>99</v>
      </c>
      <c r="E237" t="s">
        <v>134</v>
      </c>
      <c r="G237" s="1">
        <v>46211</v>
      </c>
      <c r="H237">
        <v>10</v>
      </c>
      <c r="I237" t="s">
        <v>98</v>
      </c>
      <c r="J237" t="s">
        <v>99</v>
      </c>
      <c r="K237" s="27" t="str">
        <f t="shared" ref="K237" si="15">E237</f>
        <v xml:space="preserve">Абитов </v>
      </c>
      <c r="L237">
        <f t="shared" si="11"/>
        <v>1</v>
      </c>
    </row>
    <row r="238" spans="1:13" hidden="1" x14ac:dyDescent="0.3">
      <c r="A238" s="1">
        <v>46211</v>
      </c>
      <c r="B238">
        <v>10</v>
      </c>
      <c r="C238" t="s">
        <v>98</v>
      </c>
      <c r="D238" t="s">
        <v>111</v>
      </c>
      <c r="G238" s="1">
        <v>46211</v>
      </c>
      <c r="H238">
        <v>10</v>
      </c>
      <c r="I238" t="s">
        <v>98</v>
      </c>
      <c r="J238" t="s">
        <v>111</v>
      </c>
      <c r="K238" t="s">
        <v>251</v>
      </c>
      <c r="L238">
        <f t="shared" si="11"/>
        <v>1</v>
      </c>
    </row>
    <row r="239" spans="1:13" hidden="1" x14ac:dyDescent="0.3">
      <c r="A239" s="1">
        <v>46211</v>
      </c>
      <c r="B239">
        <v>10</v>
      </c>
      <c r="C239" t="s">
        <v>98</v>
      </c>
      <c r="D239" t="s">
        <v>113</v>
      </c>
      <c r="E239" t="s">
        <v>135</v>
      </c>
      <c r="G239" s="1">
        <v>46211</v>
      </c>
      <c r="H239">
        <v>10</v>
      </c>
      <c r="I239" t="s">
        <v>98</v>
      </c>
      <c r="J239" t="s">
        <v>113</v>
      </c>
      <c r="K239" s="27" t="str">
        <f t="shared" ref="K239:K243" si="16">E239</f>
        <v>БАймурзин</v>
      </c>
      <c r="L239">
        <f t="shared" si="11"/>
        <v>1</v>
      </c>
    </row>
    <row r="240" spans="1:13" hidden="1" x14ac:dyDescent="0.3">
      <c r="A240" s="1">
        <v>46211</v>
      </c>
      <c r="B240">
        <v>10</v>
      </c>
      <c r="C240" t="s">
        <v>98</v>
      </c>
      <c r="D240" t="s">
        <v>114</v>
      </c>
      <c r="E240" t="s">
        <v>136</v>
      </c>
      <c r="G240" s="1">
        <v>46211</v>
      </c>
      <c r="H240">
        <v>10</v>
      </c>
      <c r="I240" t="s">
        <v>98</v>
      </c>
      <c r="J240" t="s">
        <v>114</v>
      </c>
      <c r="K240" s="27" t="str">
        <f t="shared" si="16"/>
        <v>Балгазин</v>
      </c>
      <c r="L240">
        <f t="shared" si="11"/>
        <v>1</v>
      </c>
    </row>
    <row r="241" spans="1:12" hidden="1" x14ac:dyDescent="0.3">
      <c r="A241" s="1">
        <v>46211</v>
      </c>
      <c r="B241">
        <v>10</v>
      </c>
      <c r="C241" t="s">
        <v>9</v>
      </c>
      <c r="D241" t="s">
        <v>7</v>
      </c>
      <c r="E241" t="s">
        <v>137</v>
      </c>
      <c r="G241" s="1">
        <v>46211</v>
      </c>
      <c r="H241">
        <v>10</v>
      </c>
      <c r="I241" t="s">
        <v>9</v>
      </c>
      <c r="J241" t="s">
        <v>7</v>
      </c>
      <c r="K241" s="27" t="str">
        <f t="shared" si="16"/>
        <v>Шугуров</v>
      </c>
      <c r="L241">
        <f t="shared" si="11"/>
        <v>1</v>
      </c>
    </row>
    <row r="242" spans="1:12" hidden="1" x14ac:dyDescent="0.3">
      <c r="A242" s="1">
        <v>46211</v>
      </c>
      <c r="B242">
        <v>10</v>
      </c>
      <c r="C242" t="s">
        <v>10</v>
      </c>
      <c r="D242" t="s">
        <v>12</v>
      </c>
      <c r="E242" t="s">
        <v>141</v>
      </c>
      <c r="G242" s="1">
        <v>46211</v>
      </c>
      <c r="H242">
        <v>10</v>
      </c>
      <c r="I242" t="s">
        <v>10</v>
      </c>
      <c r="J242" t="s">
        <v>12</v>
      </c>
      <c r="K242" s="27" t="str">
        <f t="shared" si="16"/>
        <v>Бисенов</v>
      </c>
      <c r="L242">
        <f t="shared" si="11"/>
        <v>1</v>
      </c>
    </row>
    <row r="243" spans="1:12" hidden="1" x14ac:dyDescent="0.3">
      <c r="A243" s="1">
        <v>46211</v>
      </c>
      <c r="B243">
        <v>10</v>
      </c>
      <c r="C243" t="s">
        <v>10</v>
      </c>
      <c r="D243" t="s">
        <v>115</v>
      </c>
      <c r="E243" t="s">
        <v>140</v>
      </c>
      <c r="G243" s="1">
        <v>46211</v>
      </c>
      <c r="H243">
        <v>10</v>
      </c>
      <c r="I243" t="s">
        <v>10</v>
      </c>
      <c r="J243" t="s">
        <v>115</v>
      </c>
      <c r="K243" s="27" t="str">
        <f t="shared" si="16"/>
        <v>Койшыбаев</v>
      </c>
      <c r="L243">
        <f t="shared" si="11"/>
        <v>1</v>
      </c>
    </row>
    <row r="244" spans="1:12" hidden="1" x14ac:dyDescent="0.3">
      <c r="A244" s="1">
        <v>46211</v>
      </c>
      <c r="B244">
        <v>10</v>
      </c>
      <c r="C244" t="s">
        <v>10</v>
      </c>
      <c r="D244" t="s">
        <v>8</v>
      </c>
      <c r="G244" s="1">
        <v>46211</v>
      </c>
      <c r="H244">
        <v>10</v>
      </c>
      <c r="I244" t="s">
        <v>10</v>
      </c>
      <c r="J244" t="s">
        <v>8</v>
      </c>
      <c r="K244" t="s">
        <v>142</v>
      </c>
      <c r="L244">
        <f t="shared" si="11"/>
        <v>1</v>
      </c>
    </row>
    <row r="245" spans="1:12" hidden="1" x14ac:dyDescent="0.3">
      <c r="A245" s="1">
        <v>46211</v>
      </c>
      <c r="B245">
        <v>10</v>
      </c>
      <c r="C245" t="s">
        <v>13</v>
      </c>
      <c r="D245" t="s">
        <v>14</v>
      </c>
      <c r="G245" s="1">
        <v>46211</v>
      </c>
      <c r="H245">
        <v>10</v>
      </c>
      <c r="I245" t="s">
        <v>13</v>
      </c>
      <c r="J245" t="s">
        <v>14</v>
      </c>
      <c r="K245" t="s">
        <v>208</v>
      </c>
      <c r="L245">
        <f t="shared" si="11"/>
        <v>1</v>
      </c>
    </row>
    <row r="246" spans="1:12" hidden="1" x14ac:dyDescent="0.3">
      <c r="A246" s="1">
        <v>46211</v>
      </c>
      <c r="B246">
        <v>10</v>
      </c>
      <c r="C246" t="s">
        <v>13</v>
      </c>
      <c r="D246" t="s">
        <v>15</v>
      </c>
      <c r="G246" s="1">
        <v>46211</v>
      </c>
      <c r="H246">
        <v>10</v>
      </c>
      <c r="I246" t="s">
        <v>13</v>
      </c>
      <c r="J246" s="27" t="str">
        <f>D246</f>
        <v>222 APD</v>
      </c>
      <c r="K246" t="s">
        <v>208</v>
      </c>
      <c r="L246">
        <f t="shared" si="11"/>
        <v>1</v>
      </c>
    </row>
    <row r="247" spans="1:12" hidden="1" x14ac:dyDescent="0.3">
      <c r="A247" s="1">
        <v>46211</v>
      </c>
      <c r="B247">
        <v>10</v>
      </c>
      <c r="C247" t="s">
        <v>13</v>
      </c>
      <c r="D247" t="s">
        <v>20</v>
      </c>
      <c r="G247" s="1">
        <v>46211</v>
      </c>
      <c r="H247">
        <v>10</v>
      </c>
      <c r="I247" t="s">
        <v>13</v>
      </c>
      <c r="J247" t="s">
        <v>20</v>
      </c>
      <c r="K247" t="s">
        <v>209</v>
      </c>
      <c r="L247">
        <f t="shared" si="11"/>
        <v>1</v>
      </c>
    </row>
    <row r="248" spans="1:12" hidden="1" x14ac:dyDescent="0.3">
      <c r="A248" s="1">
        <v>46211</v>
      </c>
      <c r="B248">
        <v>10</v>
      </c>
      <c r="C248" t="s">
        <v>13</v>
      </c>
      <c r="D248" t="s">
        <v>19</v>
      </c>
      <c r="G248" s="1">
        <v>46211</v>
      </c>
      <c r="H248">
        <v>10</v>
      </c>
      <c r="I248" t="s">
        <v>13</v>
      </c>
      <c r="J248" t="s">
        <v>19</v>
      </c>
      <c r="K248" t="s">
        <v>210</v>
      </c>
      <c r="L248">
        <f t="shared" si="11"/>
        <v>1</v>
      </c>
    </row>
    <row r="249" spans="1:12" hidden="1" x14ac:dyDescent="0.3">
      <c r="A249" s="1">
        <v>46211</v>
      </c>
      <c r="B249">
        <v>10</v>
      </c>
      <c r="C249" t="s">
        <v>13</v>
      </c>
      <c r="D249" t="s">
        <v>112</v>
      </c>
      <c r="G249" s="1">
        <v>46211</v>
      </c>
      <c r="H249">
        <v>10</v>
      </c>
      <c r="I249" t="s">
        <v>13</v>
      </c>
      <c r="J249" t="s">
        <v>112</v>
      </c>
      <c r="K249" t="s">
        <v>211</v>
      </c>
      <c r="L249">
        <f t="shared" si="11"/>
        <v>1</v>
      </c>
    </row>
    <row r="250" spans="1:12" hidden="1" x14ac:dyDescent="0.3">
      <c r="A250" s="1">
        <v>46211</v>
      </c>
      <c r="B250">
        <v>10</v>
      </c>
      <c r="C250" t="s">
        <v>13</v>
      </c>
      <c r="D250" t="s">
        <v>16</v>
      </c>
      <c r="E250" t="s">
        <v>191</v>
      </c>
      <c r="G250" s="1">
        <v>46211</v>
      </c>
      <c r="H250">
        <v>10</v>
      </c>
      <c r="I250" t="s">
        <v>13</v>
      </c>
      <c r="J250" t="s">
        <v>16</v>
      </c>
      <c r="K250" s="27" t="str">
        <f t="shared" ref="K250" si="17">E250</f>
        <v>Абылхаиров</v>
      </c>
      <c r="L250">
        <f t="shared" si="11"/>
        <v>1</v>
      </c>
    </row>
    <row r="251" spans="1:12" hidden="1" x14ac:dyDescent="0.3">
      <c r="A251" s="1">
        <v>46211</v>
      </c>
      <c r="B251">
        <v>10</v>
      </c>
      <c r="C251" t="s">
        <v>13</v>
      </c>
      <c r="D251" t="s">
        <v>17</v>
      </c>
      <c r="G251" s="1">
        <v>46211</v>
      </c>
      <c r="H251">
        <v>10</v>
      </c>
      <c r="I251" t="s">
        <v>13</v>
      </c>
      <c r="J251" t="s">
        <v>17</v>
      </c>
      <c r="K251" t="s">
        <v>191</v>
      </c>
      <c r="L251">
        <f t="shared" si="11"/>
        <v>1</v>
      </c>
    </row>
    <row r="252" spans="1:12" hidden="1" x14ac:dyDescent="0.3">
      <c r="A252" s="1">
        <v>46211</v>
      </c>
      <c r="B252">
        <v>10</v>
      </c>
      <c r="C252" t="s">
        <v>13</v>
      </c>
      <c r="D252" t="s">
        <v>102</v>
      </c>
      <c r="G252" s="1">
        <v>46211</v>
      </c>
      <c r="H252">
        <v>10</v>
      </c>
      <c r="I252" t="s">
        <v>13</v>
      </c>
      <c r="J252" t="s">
        <v>102</v>
      </c>
      <c r="K252" t="s">
        <v>191</v>
      </c>
      <c r="L252">
        <f t="shared" si="11"/>
        <v>1</v>
      </c>
    </row>
    <row r="253" spans="1:12" hidden="1" x14ac:dyDescent="0.3">
      <c r="A253" s="1">
        <v>46211</v>
      </c>
      <c r="B253">
        <v>10</v>
      </c>
      <c r="C253" t="s">
        <v>13</v>
      </c>
      <c r="D253" t="s">
        <v>18</v>
      </c>
      <c r="G253" s="1">
        <v>46211</v>
      </c>
      <c r="H253">
        <v>10</v>
      </c>
      <c r="I253" t="s">
        <v>13</v>
      </c>
      <c r="J253" t="s">
        <v>18</v>
      </c>
      <c r="K253" t="s">
        <v>212</v>
      </c>
      <c r="L253">
        <f t="shared" si="11"/>
        <v>1</v>
      </c>
    </row>
    <row r="254" spans="1:12" hidden="1" x14ac:dyDescent="0.3">
      <c r="A254" s="1">
        <v>46211</v>
      </c>
      <c r="B254">
        <v>5</v>
      </c>
      <c r="C254" t="s">
        <v>11</v>
      </c>
      <c r="D254" t="s">
        <v>103</v>
      </c>
      <c r="E254" t="s">
        <v>143</v>
      </c>
      <c r="G254" s="1">
        <v>46211</v>
      </c>
      <c r="H254">
        <v>5</v>
      </c>
      <c r="I254" t="s">
        <v>11</v>
      </c>
      <c r="J254" s="27" t="str">
        <f t="shared" ref="J254:K255" si="18">D254</f>
        <v>089 AMD</v>
      </c>
      <c r="K254" s="27" t="str">
        <f t="shared" si="18"/>
        <v>Саликов</v>
      </c>
      <c r="L254">
        <f t="shared" si="11"/>
        <v>1</v>
      </c>
    </row>
    <row r="255" spans="1:12" hidden="1" x14ac:dyDescent="0.3">
      <c r="A255" s="1">
        <v>46211</v>
      </c>
      <c r="B255">
        <v>7</v>
      </c>
      <c r="C255" t="s">
        <v>11</v>
      </c>
      <c r="D255" t="s">
        <v>107</v>
      </c>
      <c r="G255" s="1">
        <v>46211</v>
      </c>
      <c r="H255">
        <v>7</v>
      </c>
      <c r="I255" t="s">
        <v>11</v>
      </c>
      <c r="J255" s="27" t="str">
        <f t="shared" si="18"/>
        <v>013 AKD</v>
      </c>
      <c r="L255">
        <f t="shared" si="11"/>
        <v>1</v>
      </c>
    </row>
    <row r="256" spans="1:12" hidden="1" x14ac:dyDescent="0.3">
      <c r="A256" s="1">
        <v>46211</v>
      </c>
      <c r="B256">
        <v>10</v>
      </c>
      <c r="C256" t="s">
        <v>11</v>
      </c>
      <c r="D256" t="s">
        <v>120</v>
      </c>
      <c r="G256" s="1">
        <v>46211</v>
      </c>
      <c r="H256">
        <v>10</v>
      </c>
      <c r="I256" t="s">
        <v>11</v>
      </c>
      <c r="J256" t="s">
        <v>120</v>
      </c>
      <c r="K256" t="s">
        <v>207</v>
      </c>
      <c r="L256">
        <f t="shared" si="11"/>
        <v>1</v>
      </c>
    </row>
    <row r="257" spans="1:12" hidden="1" x14ac:dyDescent="0.3">
      <c r="A257" s="1">
        <v>46211</v>
      </c>
      <c r="B257">
        <v>5</v>
      </c>
      <c r="C257" t="s">
        <v>11</v>
      </c>
      <c r="D257" t="s">
        <v>121</v>
      </c>
      <c r="E257" t="s">
        <v>194</v>
      </c>
      <c r="G257" s="1">
        <v>46211</v>
      </c>
      <c r="H257">
        <v>5</v>
      </c>
      <c r="I257" t="s">
        <v>11</v>
      </c>
      <c r="J257" t="s">
        <v>121</v>
      </c>
      <c r="K257" s="27" t="s">
        <v>214</v>
      </c>
      <c r="L257">
        <f t="shared" si="11"/>
        <v>1</v>
      </c>
    </row>
    <row r="258" spans="1:12" hidden="1" x14ac:dyDescent="0.3">
      <c r="A258" s="1">
        <v>46211</v>
      </c>
      <c r="B258">
        <v>10</v>
      </c>
      <c r="C258" t="s">
        <v>21</v>
      </c>
      <c r="D258" t="s">
        <v>92</v>
      </c>
      <c r="G258" s="1">
        <v>46211</v>
      </c>
      <c r="H258">
        <v>10</v>
      </c>
      <c r="I258" t="s">
        <v>21</v>
      </c>
      <c r="J258" t="s">
        <v>92</v>
      </c>
      <c r="K258" t="s">
        <v>213</v>
      </c>
      <c r="L258">
        <f t="shared" si="11"/>
        <v>1</v>
      </c>
    </row>
    <row r="259" spans="1:12" hidden="1" x14ac:dyDescent="0.3">
      <c r="A259" s="1">
        <v>46211</v>
      </c>
      <c r="B259">
        <v>10</v>
      </c>
      <c r="C259" t="s">
        <v>90</v>
      </c>
      <c r="D259" t="s">
        <v>91</v>
      </c>
      <c r="G259" s="1">
        <v>46211</v>
      </c>
      <c r="H259">
        <v>10</v>
      </c>
      <c r="I259" t="s">
        <v>90</v>
      </c>
      <c r="J259" t="s">
        <v>91</v>
      </c>
      <c r="K259" t="s">
        <v>199</v>
      </c>
      <c r="L259">
        <f t="shared" ref="L259:L322" si="19">IF(J259=D259,1,0)</f>
        <v>1</v>
      </c>
    </row>
    <row r="260" spans="1:12" hidden="1" x14ac:dyDescent="0.3">
      <c r="A260" s="1">
        <v>46211</v>
      </c>
      <c r="B260">
        <v>10</v>
      </c>
      <c r="C260" t="s">
        <v>21</v>
      </c>
      <c r="D260" t="s">
        <v>95</v>
      </c>
      <c r="E260" t="s">
        <v>190</v>
      </c>
      <c r="G260" s="1">
        <v>46211</v>
      </c>
      <c r="H260">
        <v>10</v>
      </c>
      <c r="I260" t="s">
        <v>21</v>
      </c>
      <c r="J260" t="s">
        <v>95</v>
      </c>
      <c r="K260" s="27" t="str">
        <f t="shared" ref="K260" si="20">E260</f>
        <v>Шаубаев</v>
      </c>
      <c r="L260">
        <f t="shared" si="19"/>
        <v>1</v>
      </c>
    </row>
    <row r="261" spans="1:12" hidden="1" x14ac:dyDescent="0.3">
      <c r="A261" s="1">
        <v>46211</v>
      </c>
      <c r="B261">
        <v>10</v>
      </c>
      <c r="C261" t="s">
        <v>96</v>
      </c>
      <c r="D261" t="s">
        <v>97</v>
      </c>
      <c r="G261" s="1">
        <v>46211</v>
      </c>
      <c r="H261">
        <v>10</v>
      </c>
      <c r="I261" t="s">
        <v>96</v>
      </c>
      <c r="J261" t="s">
        <v>97</v>
      </c>
      <c r="K261" t="s">
        <v>190</v>
      </c>
      <c r="L261">
        <f t="shared" si="19"/>
        <v>1</v>
      </c>
    </row>
    <row r="262" spans="1:12" hidden="1" x14ac:dyDescent="0.3">
      <c r="A262" s="1">
        <v>46211</v>
      </c>
      <c r="B262">
        <v>10</v>
      </c>
      <c r="C262" t="s">
        <v>21</v>
      </c>
      <c r="D262" t="s">
        <v>28</v>
      </c>
      <c r="G262" s="1">
        <v>46211</v>
      </c>
      <c r="H262">
        <v>10</v>
      </c>
      <c r="I262" t="s">
        <v>21</v>
      </c>
      <c r="J262" t="s">
        <v>28</v>
      </c>
      <c r="L262">
        <f t="shared" si="19"/>
        <v>1</v>
      </c>
    </row>
    <row r="263" spans="1:12" hidden="1" x14ac:dyDescent="0.3">
      <c r="A263" s="1">
        <v>46211</v>
      </c>
      <c r="B263">
        <v>10</v>
      </c>
      <c r="C263" t="s">
        <v>21</v>
      </c>
      <c r="D263" t="s">
        <v>27</v>
      </c>
      <c r="G263" s="1">
        <v>46211</v>
      </c>
      <c r="H263">
        <v>10</v>
      </c>
      <c r="I263" t="s">
        <v>21</v>
      </c>
      <c r="J263" t="s">
        <v>27</v>
      </c>
      <c r="K263" t="s">
        <v>216</v>
      </c>
      <c r="L263">
        <f t="shared" si="19"/>
        <v>1</v>
      </c>
    </row>
    <row r="264" spans="1:12" hidden="1" x14ac:dyDescent="0.3">
      <c r="A264" s="1">
        <v>46211</v>
      </c>
      <c r="B264">
        <v>10</v>
      </c>
      <c r="C264" t="s">
        <v>21</v>
      </c>
      <c r="D264" t="s">
        <v>24</v>
      </c>
      <c r="G264" s="1">
        <v>46211</v>
      </c>
      <c r="H264">
        <v>10</v>
      </c>
      <c r="I264" t="s">
        <v>21</v>
      </c>
      <c r="J264" t="s">
        <v>24</v>
      </c>
      <c r="K264" t="s">
        <v>204</v>
      </c>
      <c r="L264">
        <f t="shared" si="19"/>
        <v>1</v>
      </c>
    </row>
    <row r="265" spans="1:12" x14ac:dyDescent="0.3">
      <c r="A265" s="1">
        <v>46211</v>
      </c>
      <c r="B265">
        <v>10</v>
      </c>
      <c r="C265" t="s">
        <v>21</v>
      </c>
      <c r="D265" t="s">
        <v>23</v>
      </c>
      <c r="G265" s="1">
        <v>46211</v>
      </c>
      <c r="H265">
        <v>10</v>
      </c>
      <c r="I265" t="s">
        <v>21</v>
      </c>
      <c r="J265" t="s">
        <v>23</v>
      </c>
      <c r="L265">
        <f t="shared" si="19"/>
        <v>1</v>
      </c>
    </row>
    <row r="266" spans="1:12" hidden="1" x14ac:dyDescent="0.3">
      <c r="A266" s="1">
        <v>46211</v>
      </c>
      <c r="B266">
        <v>10</v>
      </c>
      <c r="C266" t="s">
        <v>25</v>
      </c>
      <c r="D266" t="s">
        <v>57</v>
      </c>
      <c r="G266" s="1">
        <v>46211</v>
      </c>
      <c r="H266">
        <v>10</v>
      </c>
      <c r="I266" t="s">
        <v>25</v>
      </c>
      <c r="J266" s="27" t="str">
        <f t="shared" ref="J266" si="21">D266</f>
        <v>094 AHX</v>
      </c>
      <c r="K266" t="s">
        <v>217</v>
      </c>
      <c r="L266">
        <f t="shared" si="19"/>
        <v>1</v>
      </c>
    </row>
    <row r="267" spans="1:12" hidden="1" x14ac:dyDescent="0.3">
      <c r="A267" s="1">
        <v>46211</v>
      </c>
      <c r="B267">
        <v>10</v>
      </c>
      <c r="C267" t="s">
        <v>21</v>
      </c>
      <c r="D267" t="s">
        <v>122</v>
      </c>
      <c r="G267" s="1">
        <v>46211</v>
      </c>
      <c r="H267">
        <v>10</v>
      </c>
      <c r="I267" t="s">
        <v>21</v>
      </c>
      <c r="J267" t="s">
        <v>122</v>
      </c>
      <c r="L267">
        <f t="shared" si="19"/>
        <v>1</v>
      </c>
    </row>
    <row r="268" spans="1:12" hidden="1" x14ac:dyDescent="0.3">
      <c r="A268" s="1">
        <v>46211</v>
      </c>
      <c r="B268">
        <v>10</v>
      </c>
      <c r="C268" t="s">
        <v>21</v>
      </c>
      <c r="D268" t="s">
        <v>33</v>
      </c>
      <c r="G268" s="1">
        <v>46211</v>
      </c>
      <c r="H268">
        <v>10</v>
      </c>
      <c r="I268" s="23" t="s">
        <v>21</v>
      </c>
      <c r="J268" t="s">
        <v>33</v>
      </c>
      <c r="K268" t="s">
        <v>202</v>
      </c>
      <c r="L268">
        <f t="shared" si="19"/>
        <v>1</v>
      </c>
    </row>
    <row r="269" spans="1:12" hidden="1" x14ac:dyDescent="0.3">
      <c r="A269" s="1">
        <v>46211</v>
      </c>
      <c r="B269">
        <v>10</v>
      </c>
      <c r="C269" t="s">
        <v>21</v>
      </c>
      <c r="D269" t="s">
        <v>22</v>
      </c>
      <c r="G269" s="1">
        <v>46211</v>
      </c>
      <c r="H269">
        <v>10</v>
      </c>
      <c r="I269" t="s">
        <v>21</v>
      </c>
      <c r="J269" t="s">
        <v>22</v>
      </c>
      <c r="K269" t="s">
        <v>221</v>
      </c>
      <c r="L269">
        <f t="shared" si="19"/>
        <v>1</v>
      </c>
    </row>
    <row r="270" spans="1:12" hidden="1" x14ac:dyDescent="0.3">
      <c r="A270" s="1">
        <v>46211</v>
      </c>
      <c r="B270">
        <v>10</v>
      </c>
      <c r="C270" t="s">
        <v>21</v>
      </c>
      <c r="D270" t="s">
        <v>67</v>
      </c>
      <c r="G270" s="1">
        <v>46211</v>
      </c>
      <c r="H270">
        <v>10</v>
      </c>
      <c r="I270" t="s">
        <v>21</v>
      </c>
      <c r="J270" t="s">
        <v>67</v>
      </c>
      <c r="K270" t="s">
        <v>218</v>
      </c>
      <c r="L270">
        <f t="shared" si="19"/>
        <v>1</v>
      </c>
    </row>
    <row r="271" spans="1:12" hidden="1" x14ac:dyDescent="0.3">
      <c r="A271" s="1">
        <v>46211</v>
      </c>
      <c r="B271">
        <v>10</v>
      </c>
      <c r="C271" t="s">
        <v>105</v>
      </c>
      <c r="D271" t="s">
        <v>106</v>
      </c>
      <c r="G271" s="1">
        <v>46211</v>
      </c>
      <c r="H271">
        <v>10</v>
      </c>
      <c r="I271" t="s">
        <v>105</v>
      </c>
      <c r="J271" t="s">
        <v>106</v>
      </c>
      <c r="K271" t="s">
        <v>205</v>
      </c>
      <c r="L271">
        <f t="shared" si="19"/>
        <v>1</v>
      </c>
    </row>
    <row r="272" spans="1:12" hidden="1" x14ac:dyDescent="0.3">
      <c r="A272" s="1">
        <v>46211</v>
      </c>
      <c r="B272">
        <v>10</v>
      </c>
      <c r="C272" t="s">
        <v>105</v>
      </c>
      <c r="D272" t="s">
        <v>110</v>
      </c>
      <c r="G272" s="1">
        <v>46211</v>
      </c>
      <c r="H272">
        <v>10</v>
      </c>
      <c r="I272" t="s">
        <v>105</v>
      </c>
      <c r="J272" t="s">
        <v>110</v>
      </c>
      <c r="K272" t="s">
        <v>252</v>
      </c>
      <c r="L272">
        <f t="shared" si="19"/>
        <v>1</v>
      </c>
    </row>
    <row r="273" spans="1:12" hidden="1" x14ac:dyDescent="0.3">
      <c r="A273" s="1">
        <v>46211</v>
      </c>
      <c r="B273">
        <v>10</v>
      </c>
      <c r="C273" t="s">
        <v>21</v>
      </c>
      <c r="D273" t="s">
        <v>72</v>
      </c>
      <c r="G273" s="1">
        <v>46211</v>
      </c>
      <c r="H273">
        <v>10</v>
      </c>
      <c r="I273" t="s">
        <v>21</v>
      </c>
      <c r="J273" t="s">
        <v>72</v>
      </c>
      <c r="K273" t="s">
        <v>258</v>
      </c>
      <c r="L273">
        <f t="shared" si="19"/>
        <v>1</v>
      </c>
    </row>
    <row r="274" spans="1:12" hidden="1" x14ac:dyDescent="0.3">
      <c r="A274" s="1">
        <v>46212</v>
      </c>
      <c r="B274">
        <v>10</v>
      </c>
      <c r="C274" t="s">
        <v>98</v>
      </c>
      <c r="D274" t="s">
        <v>99</v>
      </c>
      <c r="E274" t="s">
        <v>134</v>
      </c>
      <c r="G274" s="1">
        <v>46212</v>
      </c>
      <c r="H274">
        <v>10</v>
      </c>
      <c r="I274" t="s">
        <v>98</v>
      </c>
      <c r="J274" t="s">
        <v>99</v>
      </c>
      <c r="K274" s="27" t="str">
        <f t="shared" ref="K274" si="22">E274</f>
        <v xml:space="preserve">Абитов </v>
      </c>
      <c r="L274">
        <f t="shared" si="19"/>
        <v>1</v>
      </c>
    </row>
    <row r="275" spans="1:12" hidden="1" x14ac:dyDescent="0.3">
      <c r="A275" s="1">
        <v>46212</v>
      </c>
      <c r="B275">
        <v>10</v>
      </c>
      <c r="C275" t="s">
        <v>98</v>
      </c>
      <c r="D275" t="s">
        <v>111</v>
      </c>
      <c r="G275" s="1">
        <v>46212</v>
      </c>
      <c r="H275">
        <v>10</v>
      </c>
      <c r="I275" t="s">
        <v>98</v>
      </c>
      <c r="J275" t="s">
        <v>111</v>
      </c>
      <c r="K275" t="s">
        <v>251</v>
      </c>
      <c r="L275">
        <f t="shared" si="19"/>
        <v>1</v>
      </c>
    </row>
    <row r="276" spans="1:12" hidden="1" x14ac:dyDescent="0.3">
      <c r="A276" s="1">
        <v>46212</v>
      </c>
      <c r="B276">
        <v>10</v>
      </c>
      <c r="C276" t="s">
        <v>98</v>
      </c>
      <c r="D276" t="s">
        <v>113</v>
      </c>
      <c r="E276" t="s">
        <v>135</v>
      </c>
      <c r="G276" s="1">
        <v>46212</v>
      </c>
      <c r="H276">
        <v>10</v>
      </c>
      <c r="I276" t="s">
        <v>98</v>
      </c>
      <c r="J276" t="s">
        <v>113</v>
      </c>
      <c r="K276" s="27" t="str">
        <f t="shared" ref="K276:K281" si="23">E276</f>
        <v>БАймурзин</v>
      </c>
      <c r="L276">
        <f t="shared" si="19"/>
        <v>1</v>
      </c>
    </row>
    <row r="277" spans="1:12" hidden="1" x14ac:dyDescent="0.3">
      <c r="A277" s="1">
        <v>46212</v>
      </c>
      <c r="B277">
        <v>10</v>
      </c>
      <c r="C277" t="s">
        <v>98</v>
      </c>
      <c r="D277" t="s">
        <v>114</v>
      </c>
      <c r="E277" t="s">
        <v>136</v>
      </c>
      <c r="G277" s="1">
        <v>46212</v>
      </c>
      <c r="H277">
        <v>10</v>
      </c>
      <c r="I277" t="s">
        <v>98</v>
      </c>
      <c r="J277" t="s">
        <v>114</v>
      </c>
      <c r="K277" s="27" t="str">
        <f t="shared" si="23"/>
        <v>Балгазин</v>
      </c>
      <c r="L277">
        <f t="shared" si="19"/>
        <v>1</v>
      </c>
    </row>
    <row r="278" spans="1:12" hidden="1" x14ac:dyDescent="0.3">
      <c r="A278" s="1">
        <v>46212</v>
      </c>
      <c r="B278">
        <v>10</v>
      </c>
      <c r="C278" t="s">
        <v>9</v>
      </c>
      <c r="D278" t="s">
        <v>7</v>
      </c>
      <c r="E278" t="s">
        <v>137</v>
      </c>
      <c r="G278" s="1">
        <v>46212</v>
      </c>
      <c r="H278">
        <v>10</v>
      </c>
      <c r="I278" t="s">
        <v>9</v>
      </c>
      <c r="J278" t="s">
        <v>7</v>
      </c>
      <c r="K278" s="27" t="str">
        <f t="shared" si="23"/>
        <v>Шугуров</v>
      </c>
      <c r="L278">
        <f t="shared" si="19"/>
        <v>1</v>
      </c>
    </row>
    <row r="279" spans="1:12" hidden="1" x14ac:dyDescent="0.3">
      <c r="A279" s="1">
        <v>46212</v>
      </c>
      <c r="B279">
        <v>10</v>
      </c>
      <c r="C279" t="s">
        <v>9</v>
      </c>
      <c r="D279" t="s">
        <v>6</v>
      </c>
      <c r="E279" t="s">
        <v>139</v>
      </c>
      <c r="G279" s="1">
        <v>46212</v>
      </c>
      <c r="H279">
        <v>10</v>
      </c>
      <c r="I279" t="s">
        <v>9</v>
      </c>
      <c r="J279" s="27" t="str">
        <f t="shared" ref="J279" si="24">D279</f>
        <v>413 AOD</v>
      </c>
      <c r="K279" s="27" t="str">
        <f t="shared" si="23"/>
        <v>Узакбаев</v>
      </c>
      <c r="L279">
        <f t="shared" si="19"/>
        <v>1</v>
      </c>
    </row>
    <row r="280" spans="1:12" hidden="1" x14ac:dyDescent="0.3">
      <c r="A280" s="1">
        <v>46212</v>
      </c>
      <c r="B280">
        <v>10</v>
      </c>
      <c r="C280" t="s">
        <v>10</v>
      </c>
      <c r="D280" t="s">
        <v>12</v>
      </c>
      <c r="E280" t="s">
        <v>141</v>
      </c>
      <c r="G280" s="1">
        <v>46212</v>
      </c>
      <c r="H280">
        <v>10</v>
      </c>
      <c r="I280" t="s">
        <v>10</v>
      </c>
      <c r="J280" t="s">
        <v>12</v>
      </c>
      <c r="K280" s="27" t="str">
        <f t="shared" si="23"/>
        <v>Бисенов</v>
      </c>
      <c r="L280">
        <f t="shared" si="19"/>
        <v>1</v>
      </c>
    </row>
    <row r="281" spans="1:12" hidden="1" x14ac:dyDescent="0.3">
      <c r="A281" s="1">
        <v>46212</v>
      </c>
      <c r="B281">
        <v>10</v>
      </c>
      <c r="C281" t="s">
        <v>10</v>
      </c>
      <c r="D281" t="s">
        <v>115</v>
      </c>
      <c r="E281" t="s">
        <v>140</v>
      </c>
      <c r="G281" s="1">
        <v>46212</v>
      </c>
      <c r="H281">
        <v>10</v>
      </c>
      <c r="I281" t="s">
        <v>10</v>
      </c>
      <c r="J281" t="s">
        <v>115</v>
      </c>
      <c r="K281" s="27" t="str">
        <f t="shared" si="23"/>
        <v>Койшыбаев</v>
      </c>
      <c r="L281">
        <f t="shared" si="19"/>
        <v>1</v>
      </c>
    </row>
    <row r="282" spans="1:12" hidden="1" x14ac:dyDescent="0.3">
      <c r="A282" s="1">
        <v>46212</v>
      </c>
      <c r="B282">
        <v>10</v>
      </c>
      <c r="C282" t="s">
        <v>10</v>
      </c>
      <c r="D282" t="s">
        <v>8</v>
      </c>
      <c r="G282" s="1">
        <v>46212</v>
      </c>
      <c r="H282">
        <v>10</v>
      </c>
      <c r="I282" t="s">
        <v>10</v>
      </c>
      <c r="J282" t="s">
        <v>8</v>
      </c>
      <c r="K282" t="s">
        <v>142</v>
      </c>
      <c r="L282">
        <f t="shared" si="19"/>
        <v>1</v>
      </c>
    </row>
    <row r="283" spans="1:12" hidden="1" x14ac:dyDescent="0.3">
      <c r="A283" s="1">
        <v>46212</v>
      </c>
      <c r="B283">
        <v>10</v>
      </c>
      <c r="C283" t="s">
        <v>11</v>
      </c>
      <c r="D283" t="s">
        <v>103</v>
      </c>
      <c r="E283" t="s">
        <v>143</v>
      </c>
      <c r="G283" s="1">
        <v>46212</v>
      </c>
      <c r="H283">
        <v>10</v>
      </c>
      <c r="I283" t="s">
        <v>11</v>
      </c>
      <c r="J283" t="s">
        <v>103</v>
      </c>
      <c r="K283" s="27" t="str">
        <f t="shared" ref="K283" si="25">E283</f>
        <v>Саликов</v>
      </c>
      <c r="L283">
        <f t="shared" si="19"/>
        <v>1</v>
      </c>
    </row>
    <row r="284" spans="1:12" hidden="1" x14ac:dyDescent="0.3">
      <c r="A284" s="1">
        <v>46212</v>
      </c>
      <c r="B284">
        <v>10</v>
      </c>
      <c r="C284" t="s">
        <v>11</v>
      </c>
      <c r="D284" t="s">
        <v>107</v>
      </c>
      <c r="G284" s="1">
        <v>46212</v>
      </c>
      <c r="H284">
        <v>10</v>
      </c>
      <c r="I284" t="s">
        <v>11</v>
      </c>
      <c r="J284" t="s">
        <v>107</v>
      </c>
      <c r="L284">
        <f t="shared" si="19"/>
        <v>1</v>
      </c>
    </row>
    <row r="285" spans="1:12" hidden="1" x14ac:dyDescent="0.3">
      <c r="A285" s="1">
        <v>46212</v>
      </c>
      <c r="B285">
        <v>10</v>
      </c>
      <c r="C285" t="s">
        <v>11</v>
      </c>
      <c r="D285" t="s">
        <v>120</v>
      </c>
      <c r="G285" s="1">
        <v>46212</v>
      </c>
      <c r="H285">
        <v>10</v>
      </c>
      <c r="I285" t="s">
        <v>11</v>
      </c>
      <c r="J285" t="s">
        <v>120</v>
      </c>
      <c r="K285" t="s">
        <v>207</v>
      </c>
      <c r="L285">
        <f t="shared" si="19"/>
        <v>1</v>
      </c>
    </row>
    <row r="286" spans="1:12" hidden="1" x14ac:dyDescent="0.3">
      <c r="A286" s="1">
        <v>46212</v>
      </c>
      <c r="B286">
        <v>10</v>
      </c>
      <c r="C286" t="s">
        <v>11</v>
      </c>
      <c r="D286" t="s">
        <v>121</v>
      </c>
      <c r="G286" s="1">
        <v>46212</v>
      </c>
      <c r="H286">
        <v>10</v>
      </c>
      <c r="I286" t="s">
        <v>11</v>
      </c>
      <c r="J286" t="s">
        <v>121</v>
      </c>
      <c r="K286" t="s">
        <v>214</v>
      </c>
      <c r="L286">
        <f t="shared" si="19"/>
        <v>1</v>
      </c>
    </row>
    <row r="287" spans="1:12" hidden="1" x14ac:dyDescent="0.3">
      <c r="A287" s="1">
        <v>46212</v>
      </c>
      <c r="B287">
        <v>10</v>
      </c>
      <c r="C287" t="s">
        <v>13</v>
      </c>
      <c r="D287" t="s">
        <v>14</v>
      </c>
      <c r="G287" s="1">
        <v>46212</v>
      </c>
      <c r="H287">
        <v>10</v>
      </c>
      <c r="I287" t="s">
        <v>13</v>
      </c>
      <c r="J287" t="s">
        <v>14</v>
      </c>
      <c r="K287" t="s">
        <v>208</v>
      </c>
      <c r="L287">
        <f t="shared" si="19"/>
        <v>1</v>
      </c>
    </row>
    <row r="288" spans="1:12" hidden="1" x14ac:dyDescent="0.3">
      <c r="A288" s="1">
        <v>46212</v>
      </c>
      <c r="B288">
        <v>10</v>
      </c>
      <c r="C288" t="s">
        <v>13</v>
      </c>
      <c r="D288" t="s">
        <v>15</v>
      </c>
      <c r="G288" s="1">
        <v>46212</v>
      </c>
      <c r="H288">
        <v>10</v>
      </c>
      <c r="I288" t="s">
        <v>13</v>
      </c>
      <c r="J288" s="27" t="str">
        <f t="shared" ref="J288" si="26">D288</f>
        <v>222 APD</v>
      </c>
      <c r="K288" t="s">
        <v>208</v>
      </c>
      <c r="L288">
        <f t="shared" si="19"/>
        <v>1</v>
      </c>
    </row>
    <row r="289" spans="1:12" hidden="1" x14ac:dyDescent="0.3">
      <c r="A289" s="1">
        <v>46212</v>
      </c>
      <c r="B289">
        <v>10</v>
      </c>
      <c r="C289" t="s">
        <v>13</v>
      </c>
      <c r="D289" t="s">
        <v>20</v>
      </c>
      <c r="G289" s="1">
        <v>46212</v>
      </c>
      <c r="H289">
        <v>10</v>
      </c>
      <c r="I289" t="s">
        <v>13</v>
      </c>
      <c r="J289" t="s">
        <v>20</v>
      </c>
      <c r="K289" t="s">
        <v>209</v>
      </c>
      <c r="L289">
        <f t="shared" si="19"/>
        <v>1</v>
      </c>
    </row>
    <row r="290" spans="1:12" hidden="1" x14ac:dyDescent="0.3">
      <c r="A290" s="1">
        <v>46212</v>
      </c>
      <c r="B290">
        <v>10</v>
      </c>
      <c r="C290" t="s">
        <v>13</v>
      </c>
      <c r="D290" t="s">
        <v>19</v>
      </c>
      <c r="G290" s="1">
        <v>46212</v>
      </c>
      <c r="H290">
        <v>10</v>
      </c>
      <c r="I290" t="s">
        <v>13</v>
      </c>
      <c r="J290" t="s">
        <v>19</v>
      </c>
      <c r="K290" t="s">
        <v>210</v>
      </c>
      <c r="L290">
        <f t="shared" si="19"/>
        <v>1</v>
      </c>
    </row>
    <row r="291" spans="1:12" hidden="1" x14ac:dyDescent="0.3">
      <c r="A291" s="1">
        <v>46212</v>
      </c>
      <c r="B291">
        <v>10</v>
      </c>
      <c r="C291" t="s">
        <v>13</v>
      </c>
      <c r="D291" t="s">
        <v>112</v>
      </c>
      <c r="G291" s="1">
        <v>46212</v>
      </c>
      <c r="H291">
        <v>10</v>
      </c>
      <c r="I291" t="s">
        <v>13</v>
      </c>
      <c r="J291" t="s">
        <v>112</v>
      </c>
      <c r="K291" t="s">
        <v>211</v>
      </c>
      <c r="L291">
        <f t="shared" si="19"/>
        <v>1</v>
      </c>
    </row>
    <row r="292" spans="1:12" hidden="1" x14ac:dyDescent="0.3">
      <c r="A292" s="1">
        <v>46212</v>
      </c>
      <c r="B292">
        <v>10</v>
      </c>
      <c r="C292" t="s">
        <v>13</v>
      </c>
      <c r="D292" t="s">
        <v>16</v>
      </c>
      <c r="E292" t="s">
        <v>191</v>
      </c>
      <c r="G292" s="1">
        <v>46212</v>
      </c>
      <c r="H292">
        <v>10</v>
      </c>
      <c r="I292" t="s">
        <v>13</v>
      </c>
      <c r="J292" t="s">
        <v>16</v>
      </c>
      <c r="K292" s="27" t="str">
        <f t="shared" ref="K292" si="27">E292</f>
        <v>Абылхаиров</v>
      </c>
      <c r="L292">
        <f t="shared" si="19"/>
        <v>1</v>
      </c>
    </row>
    <row r="293" spans="1:12" hidden="1" x14ac:dyDescent="0.3">
      <c r="A293" s="1">
        <v>46212</v>
      </c>
      <c r="B293">
        <v>10</v>
      </c>
      <c r="C293" t="s">
        <v>13</v>
      </c>
      <c r="D293" t="s">
        <v>17</v>
      </c>
      <c r="G293" s="1">
        <v>46212</v>
      </c>
      <c r="H293">
        <v>10</v>
      </c>
      <c r="I293" t="s">
        <v>13</v>
      </c>
      <c r="J293" t="s">
        <v>17</v>
      </c>
      <c r="K293" t="s">
        <v>191</v>
      </c>
      <c r="L293">
        <f t="shared" si="19"/>
        <v>1</v>
      </c>
    </row>
    <row r="294" spans="1:12" hidden="1" x14ac:dyDescent="0.3">
      <c r="A294" s="1">
        <v>46212</v>
      </c>
      <c r="B294">
        <v>10</v>
      </c>
      <c r="C294" t="s">
        <v>13</v>
      </c>
      <c r="D294" t="s">
        <v>102</v>
      </c>
      <c r="G294" s="1">
        <v>46212</v>
      </c>
      <c r="H294">
        <v>10</v>
      </c>
      <c r="I294" t="s">
        <v>13</v>
      </c>
      <c r="J294" t="s">
        <v>102</v>
      </c>
      <c r="K294" t="s">
        <v>191</v>
      </c>
      <c r="L294">
        <f t="shared" si="19"/>
        <v>1</v>
      </c>
    </row>
    <row r="295" spans="1:12" hidden="1" x14ac:dyDescent="0.3">
      <c r="A295" s="1">
        <v>46212</v>
      </c>
      <c r="B295">
        <v>10</v>
      </c>
      <c r="C295" t="s">
        <v>13</v>
      </c>
      <c r="D295" t="s">
        <v>18</v>
      </c>
      <c r="G295" s="1">
        <v>46212</v>
      </c>
      <c r="H295">
        <v>10</v>
      </c>
      <c r="I295" t="s">
        <v>13</v>
      </c>
      <c r="J295" t="s">
        <v>18</v>
      </c>
      <c r="K295" t="s">
        <v>212</v>
      </c>
      <c r="L295">
        <f t="shared" si="19"/>
        <v>1</v>
      </c>
    </row>
    <row r="296" spans="1:12" hidden="1" x14ac:dyDescent="0.3">
      <c r="A296" s="1">
        <v>46212</v>
      </c>
      <c r="B296">
        <v>10</v>
      </c>
      <c r="C296" t="s">
        <v>105</v>
      </c>
      <c r="D296" t="s">
        <v>106</v>
      </c>
      <c r="G296" s="1">
        <v>46212</v>
      </c>
      <c r="H296">
        <v>10</v>
      </c>
      <c r="I296" t="s">
        <v>105</v>
      </c>
      <c r="J296" t="s">
        <v>106</v>
      </c>
      <c r="K296" t="s">
        <v>205</v>
      </c>
      <c r="L296">
        <f t="shared" si="19"/>
        <v>1</v>
      </c>
    </row>
    <row r="297" spans="1:12" hidden="1" x14ac:dyDescent="0.3">
      <c r="A297" s="1">
        <v>46212</v>
      </c>
      <c r="B297">
        <v>10</v>
      </c>
      <c r="C297" t="s">
        <v>105</v>
      </c>
      <c r="D297" t="s">
        <v>110</v>
      </c>
      <c r="G297" s="1">
        <v>46212</v>
      </c>
      <c r="H297">
        <v>10</v>
      </c>
      <c r="I297" t="s">
        <v>105</v>
      </c>
      <c r="J297" t="s">
        <v>110</v>
      </c>
      <c r="K297" t="s">
        <v>252</v>
      </c>
      <c r="L297">
        <f t="shared" si="19"/>
        <v>1</v>
      </c>
    </row>
    <row r="298" spans="1:12" hidden="1" x14ac:dyDescent="0.3">
      <c r="A298" s="1">
        <v>46212</v>
      </c>
      <c r="B298">
        <v>10</v>
      </c>
      <c r="C298" t="s">
        <v>21</v>
      </c>
      <c r="D298" t="s">
        <v>22</v>
      </c>
      <c r="G298" s="1">
        <v>46212</v>
      </c>
      <c r="H298">
        <v>10</v>
      </c>
      <c r="I298" t="s">
        <v>21</v>
      </c>
      <c r="J298" t="s">
        <v>22</v>
      </c>
      <c r="K298" t="s">
        <v>221</v>
      </c>
      <c r="L298">
        <f t="shared" si="19"/>
        <v>1</v>
      </c>
    </row>
    <row r="299" spans="1:12" hidden="1" x14ac:dyDescent="0.3">
      <c r="A299" s="1">
        <v>46212</v>
      </c>
      <c r="B299">
        <v>10</v>
      </c>
      <c r="C299" t="s">
        <v>21</v>
      </c>
      <c r="D299" t="s">
        <v>33</v>
      </c>
      <c r="G299" s="1">
        <v>46212</v>
      </c>
      <c r="H299">
        <v>10</v>
      </c>
      <c r="I299" s="23" t="s">
        <v>21</v>
      </c>
      <c r="J299" t="s">
        <v>33</v>
      </c>
      <c r="K299" t="s">
        <v>202</v>
      </c>
      <c r="L299">
        <f t="shared" si="19"/>
        <v>1</v>
      </c>
    </row>
    <row r="300" spans="1:12" hidden="1" x14ac:dyDescent="0.3">
      <c r="A300" s="1">
        <v>46212</v>
      </c>
      <c r="B300">
        <v>10</v>
      </c>
      <c r="C300" t="s">
        <v>21</v>
      </c>
      <c r="D300" t="s">
        <v>27</v>
      </c>
      <c r="G300" s="1">
        <v>46212</v>
      </c>
      <c r="H300">
        <v>10</v>
      </c>
      <c r="I300" t="s">
        <v>21</v>
      </c>
      <c r="J300" t="s">
        <v>27</v>
      </c>
      <c r="K300" t="s">
        <v>216</v>
      </c>
      <c r="L300">
        <f t="shared" si="19"/>
        <v>1</v>
      </c>
    </row>
    <row r="301" spans="1:12" hidden="1" x14ac:dyDescent="0.3">
      <c r="A301" s="1">
        <v>46212</v>
      </c>
      <c r="B301">
        <v>10</v>
      </c>
      <c r="C301" t="s">
        <v>25</v>
      </c>
      <c r="D301" t="s">
        <v>57</v>
      </c>
      <c r="G301" s="1">
        <v>46212</v>
      </c>
      <c r="H301">
        <v>10</v>
      </c>
      <c r="I301" t="s">
        <v>25</v>
      </c>
      <c r="J301" s="27" t="str">
        <f t="shared" ref="J301" si="28">D301</f>
        <v>094 AHX</v>
      </c>
      <c r="K301" t="s">
        <v>217</v>
      </c>
      <c r="L301">
        <f t="shared" si="19"/>
        <v>1</v>
      </c>
    </row>
    <row r="302" spans="1:12" hidden="1" x14ac:dyDescent="0.3">
      <c r="A302" s="1">
        <v>46212</v>
      </c>
      <c r="B302">
        <v>10</v>
      </c>
      <c r="C302" t="s">
        <v>21</v>
      </c>
      <c r="D302" t="s">
        <v>28</v>
      </c>
      <c r="G302" s="1">
        <v>46212</v>
      </c>
      <c r="H302">
        <v>10</v>
      </c>
      <c r="I302" t="s">
        <v>21</v>
      </c>
      <c r="J302" t="s">
        <v>28</v>
      </c>
      <c r="L302">
        <f t="shared" si="19"/>
        <v>1</v>
      </c>
    </row>
    <row r="303" spans="1:12" hidden="1" x14ac:dyDescent="0.3">
      <c r="A303" s="1">
        <v>46212</v>
      </c>
      <c r="B303">
        <v>10</v>
      </c>
      <c r="C303" t="s">
        <v>21</v>
      </c>
      <c r="D303" t="s">
        <v>95</v>
      </c>
      <c r="E303" t="s">
        <v>190</v>
      </c>
      <c r="G303" s="1">
        <v>46212</v>
      </c>
      <c r="H303">
        <v>10</v>
      </c>
      <c r="I303" t="s">
        <v>21</v>
      </c>
      <c r="J303" t="s">
        <v>95</v>
      </c>
      <c r="K303" s="27" t="str">
        <f t="shared" ref="K303" si="29">E303</f>
        <v>Шаубаев</v>
      </c>
      <c r="L303">
        <f t="shared" si="19"/>
        <v>1</v>
      </c>
    </row>
    <row r="304" spans="1:12" x14ac:dyDescent="0.3">
      <c r="A304" s="1">
        <v>46212</v>
      </c>
      <c r="B304">
        <v>10</v>
      </c>
      <c r="C304" t="s">
        <v>21</v>
      </c>
      <c r="D304" t="s">
        <v>23</v>
      </c>
      <c r="G304" s="1">
        <v>46212</v>
      </c>
      <c r="H304">
        <v>10</v>
      </c>
      <c r="I304" t="s">
        <v>21</v>
      </c>
      <c r="J304" t="s">
        <v>23</v>
      </c>
      <c r="L304">
        <f t="shared" si="19"/>
        <v>1</v>
      </c>
    </row>
    <row r="305" spans="1:12" hidden="1" x14ac:dyDescent="0.3">
      <c r="A305" s="1">
        <v>46212</v>
      </c>
      <c r="B305">
        <v>10</v>
      </c>
      <c r="C305" t="s">
        <v>21</v>
      </c>
      <c r="D305" t="s">
        <v>24</v>
      </c>
      <c r="G305" s="1">
        <v>46212</v>
      </c>
      <c r="H305">
        <v>10</v>
      </c>
      <c r="I305" t="s">
        <v>21</v>
      </c>
      <c r="J305" t="s">
        <v>24</v>
      </c>
      <c r="K305" t="s">
        <v>204</v>
      </c>
      <c r="L305">
        <f t="shared" si="19"/>
        <v>1</v>
      </c>
    </row>
    <row r="306" spans="1:12" hidden="1" x14ac:dyDescent="0.3">
      <c r="A306" s="1">
        <v>46212</v>
      </c>
      <c r="B306">
        <v>10</v>
      </c>
      <c r="C306" t="s">
        <v>21</v>
      </c>
      <c r="D306" t="s">
        <v>67</v>
      </c>
      <c r="G306" s="1">
        <v>46212</v>
      </c>
      <c r="H306">
        <v>10</v>
      </c>
      <c r="I306" t="s">
        <v>21</v>
      </c>
      <c r="J306" t="s">
        <v>67</v>
      </c>
      <c r="K306" t="s">
        <v>218</v>
      </c>
      <c r="L306">
        <f t="shared" si="19"/>
        <v>1</v>
      </c>
    </row>
    <row r="307" spans="1:12" hidden="1" x14ac:dyDescent="0.3">
      <c r="A307" s="1">
        <v>46212</v>
      </c>
      <c r="B307">
        <v>10</v>
      </c>
      <c r="C307" t="s">
        <v>96</v>
      </c>
      <c r="D307" t="s">
        <v>97</v>
      </c>
      <c r="G307" s="1">
        <v>46212</v>
      </c>
      <c r="H307">
        <v>10</v>
      </c>
      <c r="I307" t="s">
        <v>96</v>
      </c>
      <c r="J307" t="s">
        <v>97</v>
      </c>
      <c r="K307" t="s">
        <v>190</v>
      </c>
      <c r="L307">
        <f t="shared" si="19"/>
        <v>1</v>
      </c>
    </row>
    <row r="308" spans="1:12" hidden="1" x14ac:dyDescent="0.3">
      <c r="A308" s="1">
        <v>46212</v>
      </c>
      <c r="B308">
        <v>10</v>
      </c>
      <c r="C308" t="s">
        <v>21</v>
      </c>
      <c r="D308" t="s">
        <v>72</v>
      </c>
      <c r="G308" s="1">
        <v>46212</v>
      </c>
      <c r="H308">
        <v>10</v>
      </c>
      <c r="I308" t="s">
        <v>21</v>
      </c>
      <c r="J308" t="s">
        <v>72</v>
      </c>
      <c r="K308" t="s">
        <v>258</v>
      </c>
      <c r="L308">
        <f t="shared" si="19"/>
        <v>1</v>
      </c>
    </row>
    <row r="309" spans="1:12" hidden="1" x14ac:dyDescent="0.3">
      <c r="A309" s="1">
        <v>46212</v>
      </c>
      <c r="B309">
        <v>10</v>
      </c>
      <c r="C309" t="s">
        <v>21</v>
      </c>
      <c r="D309" t="s">
        <v>44</v>
      </c>
      <c r="G309" s="1">
        <v>46212</v>
      </c>
      <c r="H309">
        <v>10</v>
      </c>
      <c r="I309" t="s">
        <v>21</v>
      </c>
      <c r="J309" t="s">
        <v>44</v>
      </c>
      <c r="K309" t="s">
        <v>257</v>
      </c>
      <c r="L309">
        <f t="shared" si="19"/>
        <v>1</v>
      </c>
    </row>
    <row r="310" spans="1:12" hidden="1" x14ac:dyDescent="0.3">
      <c r="A310" s="1">
        <v>46214</v>
      </c>
      <c r="B310">
        <v>10</v>
      </c>
      <c r="C310" t="s">
        <v>98</v>
      </c>
      <c r="D310" t="s">
        <v>99</v>
      </c>
      <c r="E310" t="s">
        <v>134</v>
      </c>
      <c r="G310" s="1">
        <v>46214</v>
      </c>
      <c r="H310">
        <v>10</v>
      </c>
      <c r="I310" t="s">
        <v>98</v>
      </c>
      <c r="J310" t="s">
        <v>99</v>
      </c>
      <c r="K310" s="27" t="str">
        <f t="shared" ref="K310" si="30">E310</f>
        <v xml:space="preserve">Абитов </v>
      </c>
      <c r="L310">
        <f t="shared" si="19"/>
        <v>1</v>
      </c>
    </row>
    <row r="311" spans="1:12" hidden="1" x14ac:dyDescent="0.3">
      <c r="A311" s="1">
        <v>46214</v>
      </c>
      <c r="B311">
        <v>10</v>
      </c>
      <c r="C311" t="s">
        <v>98</v>
      </c>
      <c r="D311" t="s">
        <v>111</v>
      </c>
      <c r="G311" s="1">
        <v>46214</v>
      </c>
      <c r="H311">
        <v>10</v>
      </c>
      <c r="I311" t="s">
        <v>98</v>
      </c>
      <c r="J311" t="s">
        <v>111</v>
      </c>
      <c r="K311" t="s">
        <v>251</v>
      </c>
      <c r="L311">
        <f t="shared" si="19"/>
        <v>1</v>
      </c>
    </row>
    <row r="312" spans="1:12" hidden="1" x14ac:dyDescent="0.3">
      <c r="A312" s="1">
        <v>46214</v>
      </c>
      <c r="B312">
        <v>10</v>
      </c>
      <c r="C312" t="s">
        <v>98</v>
      </c>
      <c r="D312" t="s">
        <v>113</v>
      </c>
      <c r="E312" t="s">
        <v>135</v>
      </c>
      <c r="G312" s="1">
        <v>46214</v>
      </c>
      <c r="H312">
        <v>10</v>
      </c>
      <c r="I312" t="s">
        <v>98</v>
      </c>
      <c r="J312" t="s">
        <v>113</v>
      </c>
      <c r="K312" s="27" t="str">
        <f t="shared" ref="K312:K318" si="31">E312</f>
        <v>БАймурзин</v>
      </c>
      <c r="L312">
        <f t="shared" si="19"/>
        <v>1</v>
      </c>
    </row>
    <row r="313" spans="1:12" hidden="1" x14ac:dyDescent="0.3">
      <c r="A313" s="1">
        <v>46214</v>
      </c>
      <c r="B313">
        <v>10</v>
      </c>
      <c r="C313" t="s">
        <v>98</v>
      </c>
      <c r="D313" t="s">
        <v>114</v>
      </c>
      <c r="E313" t="s">
        <v>136</v>
      </c>
      <c r="G313" s="1">
        <v>46214</v>
      </c>
      <c r="H313">
        <v>10</v>
      </c>
      <c r="I313" t="s">
        <v>98</v>
      </c>
      <c r="J313" t="s">
        <v>114</v>
      </c>
      <c r="K313" s="27" t="str">
        <f t="shared" si="31"/>
        <v>Балгазин</v>
      </c>
      <c r="L313">
        <f t="shared" si="19"/>
        <v>1</v>
      </c>
    </row>
    <row r="314" spans="1:12" hidden="1" x14ac:dyDescent="0.3">
      <c r="A314" s="1">
        <v>46214</v>
      </c>
      <c r="B314">
        <v>10</v>
      </c>
      <c r="C314" t="s">
        <v>9</v>
      </c>
      <c r="D314" t="s">
        <v>7</v>
      </c>
      <c r="E314" t="s">
        <v>137</v>
      </c>
      <c r="G314" s="1">
        <v>46214</v>
      </c>
      <c r="H314">
        <v>10</v>
      </c>
      <c r="I314" t="s">
        <v>9</v>
      </c>
      <c r="J314" t="s">
        <v>7</v>
      </c>
      <c r="K314" s="27" t="str">
        <f t="shared" si="31"/>
        <v>Шугуров</v>
      </c>
      <c r="L314">
        <f t="shared" si="19"/>
        <v>1</v>
      </c>
    </row>
    <row r="315" spans="1:12" hidden="1" x14ac:dyDescent="0.3">
      <c r="A315" s="1">
        <v>46214</v>
      </c>
      <c r="B315">
        <v>10</v>
      </c>
      <c r="C315" t="s">
        <v>9</v>
      </c>
      <c r="D315" t="s">
        <v>6</v>
      </c>
      <c r="E315" t="s">
        <v>139</v>
      </c>
      <c r="G315" s="1">
        <v>46214</v>
      </c>
      <c r="H315">
        <v>10</v>
      </c>
      <c r="I315" t="s">
        <v>9</v>
      </c>
      <c r="J315" s="27" t="str">
        <f t="shared" ref="J315" si="32">D315</f>
        <v>413 AOD</v>
      </c>
      <c r="K315" s="27" t="str">
        <f t="shared" si="31"/>
        <v>Узакбаев</v>
      </c>
      <c r="L315">
        <f t="shared" si="19"/>
        <v>1</v>
      </c>
    </row>
    <row r="316" spans="1:12" hidden="1" x14ac:dyDescent="0.3">
      <c r="A316" s="1">
        <v>46214</v>
      </c>
      <c r="B316">
        <v>10</v>
      </c>
      <c r="C316" t="s">
        <v>10</v>
      </c>
      <c r="D316" t="s">
        <v>115</v>
      </c>
      <c r="E316" t="s">
        <v>140</v>
      </c>
      <c r="G316" s="1">
        <v>46214</v>
      </c>
      <c r="H316">
        <v>10</v>
      </c>
      <c r="I316" t="s">
        <v>10</v>
      </c>
      <c r="J316" t="s">
        <v>115</v>
      </c>
      <c r="K316" s="27" t="str">
        <f t="shared" si="31"/>
        <v>Койшыбаев</v>
      </c>
      <c r="L316">
        <f t="shared" si="19"/>
        <v>1</v>
      </c>
    </row>
    <row r="317" spans="1:12" hidden="1" x14ac:dyDescent="0.3">
      <c r="A317" s="1">
        <v>46214</v>
      </c>
      <c r="B317">
        <v>10</v>
      </c>
      <c r="C317" t="s">
        <v>10</v>
      </c>
      <c r="D317" t="s">
        <v>12</v>
      </c>
      <c r="E317" t="s">
        <v>141</v>
      </c>
      <c r="G317" s="1">
        <v>46214</v>
      </c>
      <c r="H317">
        <v>10</v>
      </c>
      <c r="I317" t="s">
        <v>10</v>
      </c>
      <c r="J317" t="s">
        <v>12</v>
      </c>
      <c r="K317" s="27" t="str">
        <f t="shared" si="31"/>
        <v>Бисенов</v>
      </c>
      <c r="L317">
        <f t="shared" si="19"/>
        <v>1</v>
      </c>
    </row>
    <row r="318" spans="1:12" hidden="1" x14ac:dyDescent="0.3">
      <c r="A318" s="1">
        <v>46214</v>
      </c>
      <c r="B318">
        <v>10</v>
      </c>
      <c r="C318" t="s">
        <v>11</v>
      </c>
      <c r="D318" t="s">
        <v>103</v>
      </c>
      <c r="E318" t="s">
        <v>143</v>
      </c>
      <c r="G318" s="1">
        <v>46214</v>
      </c>
      <c r="H318">
        <v>10</v>
      </c>
      <c r="I318" t="s">
        <v>11</v>
      </c>
      <c r="J318" t="s">
        <v>103</v>
      </c>
      <c r="K318" s="27" t="str">
        <f t="shared" si="31"/>
        <v>Саликов</v>
      </c>
      <c r="L318">
        <f t="shared" si="19"/>
        <v>1</v>
      </c>
    </row>
    <row r="319" spans="1:12" hidden="1" x14ac:dyDescent="0.3">
      <c r="A319" s="1">
        <v>46214</v>
      </c>
      <c r="B319">
        <v>10</v>
      </c>
      <c r="C319" t="s">
        <v>11</v>
      </c>
      <c r="D319" t="s">
        <v>107</v>
      </c>
      <c r="G319" s="1">
        <v>46214</v>
      </c>
      <c r="H319">
        <v>10</v>
      </c>
      <c r="I319" t="s">
        <v>11</v>
      </c>
      <c r="J319" t="s">
        <v>107</v>
      </c>
      <c r="L319">
        <f t="shared" si="19"/>
        <v>1</v>
      </c>
    </row>
    <row r="320" spans="1:12" hidden="1" x14ac:dyDescent="0.3">
      <c r="A320" s="1">
        <v>46214</v>
      </c>
      <c r="B320">
        <v>10</v>
      </c>
      <c r="C320" t="s">
        <v>11</v>
      </c>
      <c r="D320" t="s">
        <v>120</v>
      </c>
      <c r="G320" s="1">
        <v>46214</v>
      </c>
      <c r="H320">
        <v>10</v>
      </c>
      <c r="I320" t="s">
        <v>11</v>
      </c>
      <c r="J320" t="s">
        <v>120</v>
      </c>
      <c r="K320" t="s">
        <v>207</v>
      </c>
      <c r="L320">
        <f t="shared" si="19"/>
        <v>1</v>
      </c>
    </row>
    <row r="321" spans="1:12" hidden="1" x14ac:dyDescent="0.3">
      <c r="A321" s="1">
        <v>46214</v>
      </c>
      <c r="B321">
        <v>10</v>
      </c>
      <c r="C321" t="s">
        <v>13</v>
      </c>
      <c r="D321" t="s">
        <v>14</v>
      </c>
      <c r="G321" s="1">
        <v>46214</v>
      </c>
      <c r="H321">
        <v>10</v>
      </c>
      <c r="I321" t="s">
        <v>13</v>
      </c>
      <c r="J321" t="s">
        <v>14</v>
      </c>
      <c r="K321" t="s">
        <v>208</v>
      </c>
      <c r="L321">
        <f t="shared" si="19"/>
        <v>1</v>
      </c>
    </row>
    <row r="322" spans="1:12" hidden="1" x14ac:dyDescent="0.3">
      <c r="A322" s="1">
        <v>46214</v>
      </c>
      <c r="B322">
        <v>10</v>
      </c>
      <c r="C322" t="s">
        <v>13</v>
      </c>
      <c r="D322" t="s">
        <v>15</v>
      </c>
      <c r="G322" s="1">
        <v>46214</v>
      </c>
      <c r="H322">
        <v>10</v>
      </c>
      <c r="I322" t="s">
        <v>13</v>
      </c>
      <c r="J322" s="27" t="str">
        <f t="shared" ref="J322" si="33">D322</f>
        <v>222 APD</v>
      </c>
      <c r="K322" t="s">
        <v>208</v>
      </c>
      <c r="L322">
        <f t="shared" si="19"/>
        <v>1</v>
      </c>
    </row>
    <row r="323" spans="1:12" hidden="1" x14ac:dyDescent="0.3">
      <c r="A323" s="1">
        <v>46214</v>
      </c>
      <c r="B323">
        <v>10</v>
      </c>
      <c r="C323" t="s">
        <v>13</v>
      </c>
      <c r="D323" t="s">
        <v>20</v>
      </c>
      <c r="G323" s="1">
        <v>46214</v>
      </c>
      <c r="H323">
        <v>10</v>
      </c>
      <c r="I323" t="s">
        <v>13</v>
      </c>
      <c r="J323" t="s">
        <v>20</v>
      </c>
      <c r="K323" t="s">
        <v>209</v>
      </c>
      <c r="L323">
        <f t="shared" ref="L323:L386" si="34">IF(J323=D323,1,0)</f>
        <v>1</v>
      </c>
    </row>
    <row r="324" spans="1:12" hidden="1" x14ac:dyDescent="0.3">
      <c r="A324" s="1">
        <v>46214</v>
      </c>
      <c r="B324">
        <v>10</v>
      </c>
      <c r="C324" t="s">
        <v>13</v>
      </c>
      <c r="D324" t="s">
        <v>19</v>
      </c>
      <c r="G324" s="1">
        <v>46214</v>
      </c>
      <c r="H324">
        <v>10</v>
      </c>
      <c r="I324" t="s">
        <v>13</v>
      </c>
      <c r="J324" t="s">
        <v>19</v>
      </c>
      <c r="K324" t="s">
        <v>210</v>
      </c>
      <c r="L324">
        <f t="shared" si="34"/>
        <v>1</v>
      </c>
    </row>
    <row r="325" spans="1:12" hidden="1" x14ac:dyDescent="0.3">
      <c r="A325" s="1">
        <v>46214</v>
      </c>
      <c r="B325">
        <v>10</v>
      </c>
      <c r="C325" t="s">
        <v>13</v>
      </c>
      <c r="D325" t="s">
        <v>112</v>
      </c>
      <c r="G325" s="1">
        <v>46214</v>
      </c>
      <c r="H325">
        <v>10</v>
      </c>
      <c r="I325" t="s">
        <v>13</v>
      </c>
      <c r="J325" t="s">
        <v>112</v>
      </c>
      <c r="K325" t="s">
        <v>211</v>
      </c>
      <c r="L325">
        <f t="shared" si="34"/>
        <v>1</v>
      </c>
    </row>
    <row r="326" spans="1:12" hidden="1" x14ac:dyDescent="0.3">
      <c r="A326" s="1">
        <v>46214</v>
      </c>
      <c r="B326">
        <v>10</v>
      </c>
      <c r="C326" t="s">
        <v>13</v>
      </c>
      <c r="D326" t="s">
        <v>16</v>
      </c>
      <c r="E326" t="s">
        <v>191</v>
      </c>
      <c r="G326" s="1">
        <v>46214</v>
      </c>
      <c r="H326">
        <v>10</v>
      </c>
      <c r="I326" t="s">
        <v>13</v>
      </c>
      <c r="J326" t="s">
        <v>16</v>
      </c>
      <c r="K326" s="27" t="str">
        <f t="shared" ref="K326" si="35">E326</f>
        <v>Абылхаиров</v>
      </c>
      <c r="L326">
        <f t="shared" si="34"/>
        <v>1</v>
      </c>
    </row>
    <row r="327" spans="1:12" hidden="1" x14ac:dyDescent="0.3">
      <c r="A327" s="1">
        <v>46214</v>
      </c>
      <c r="B327">
        <v>10</v>
      </c>
      <c r="C327" t="s">
        <v>13</v>
      </c>
      <c r="D327" t="s">
        <v>17</v>
      </c>
      <c r="G327" s="1">
        <v>46214</v>
      </c>
      <c r="H327">
        <v>10</v>
      </c>
      <c r="I327" t="s">
        <v>13</v>
      </c>
      <c r="J327" t="s">
        <v>17</v>
      </c>
      <c r="K327" t="s">
        <v>191</v>
      </c>
      <c r="L327">
        <f t="shared" si="34"/>
        <v>1</v>
      </c>
    </row>
    <row r="328" spans="1:12" hidden="1" x14ac:dyDescent="0.3">
      <c r="A328" s="1">
        <v>46214</v>
      </c>
      <c r="B328">
        <v>10</v>
      </c>
      <c r="C328" t="s">
        <v>13</v>
      </c>
      <c r="D328" t="s">
        <v>102</v>
      </c>
      <c r="G328" s="1">
        <v>46214</v>
      </c>
      <c r="H328">
        <v>10</v>
      </c>
      <c r="I328" t="s">
        <v>13</v>
      </c>
      <c r="J328" t="s">
        <v>102</v>
      </c>
      <c r="K328" t="s">
        <v>191</v>
      </c>
      <c r="L328">
        <f t="shared" si="34"/>
        <v>1</v>
      </c>
    </row>
    <row r="329" spans="1:12" hidden="1" x14ac:dyDescent="0.3">
      <c r="A329" s="1">
        <v>46214</v>
      </c>
      <c r="B329">
        <v>10</v>
      </c>
      <c r="C329" t="s">
        <v>13</v>
      </c>
      <c r="D329" t="s">
        <v>18</v>
      </c>
      <c r="G329" s="1">
        <v>46214</v>
      </c>
      <c r="H329">
        <v>10</v>
      </c>
      <c r="I329" t="s">
        <v>13</v>
      </c>
      <c r="J329" t="s">
        <v>18</v>
      </c>
      <c r="K329" t="s">
        <v>212</v>
      </c>
      <c r="L329">
        <f t="shared" si="34"/>
        <v>1</v>
      </c>
    </row>
    <row r="330" spans="1:12" hidden="1" x14ac:dyDescent="0.3">
      <c r="A330" s="1">
        <v>46214</v>
      </c>
      <c r="B330">
        <v>5</v>
      </c>
      <c r="C330" t="s">
        <v>21</v>
      </c>
      <c r="D330" t="s">
        <v>22</v>
      </c>
      <c r="G330" s="1">
        <v>46214</v>
      </c>
      <c r="H330">
        <v>5</v>
      </c>
      <c r="I330" t="s">
        <v>21</v>
      </c>
      <c r="J330" t="s">
        <v>22</v>
      </c>
      <c r="K330" t="s">
        <v>221</v>
      </c>
      <c r="L330">
        <f t="shared" si="34"/>
        <v>1</v>
      </c>
    </row>
    <row r="331" spans="1:12" hidden="1" x14ac:dyDescent="0.3">
      <c r="A331" s="1">
        <v>46214</v>
      </c>
      <c r="B331">
        <v>10</v>
      </c>
      <c r="C331" t="s">
        <v>21</v>
      </c>
      <c r="D331" t="s">
        <v>44</v>
      </c>
      <c r="G331" s="1">
        <v>46214</v>
      </c>
      <c r="H331">
        <v>10</v>
      </c>
      <c r="I331" t="s">
        <v>21</v>
      </c>
      <c r="J331" t="s">
        <v>44</v>
      </c>
      <c r="K331" t="s">
        <v>257</v>
      </c>
      <c r="L331">
        <f t="shared" si="34"/>
        <v>1</v>
      </c>
    </row>
    <row r="332" spans="1:12" hidden="1" x14ac:dyDescent="0.3">
      <c r="A332" s="1">
        <v>46214</v>
      </c>
      <c r="B332">
        <v>10</v>
      </c>
      <c r="C332" t="s">
        <v>21</v>
      </c>
      <c r="D332" t="s">
        <v>28</v>
      </c>
      <c r="G332" s="1">
        <v>46214</v>
      </c>
      <c r="H332">
        <v>10</v>
      </c>
      <c r="I332" t="s">
        <v>21</v>
      </c>
      <c r="J332" t="s">
        <v>28</v>
      </c>
      <c r="L332">
        <f t="shared" si="34"/>
        <v>1</v>
      </c>
    </row>
    <row r="333" spans="1:12" hidden="1" x14ac:dyDescent="0.3">
      <c r="A333" s="1">
        <v>46214</v>
      </c>
      <c r="B333">
        <v>10</v>
      </c>
      <c r="C333" t="s">
        <v>25</v>
      </c>
      <c r="D333" t="s">
        <v>57</v>
      </c>
      <c r="G333" s="1">
        <v>46214</v>
      </c>
      <c r="H333">
        <v>10</v>
      </c>
      <c r="I333" t="s">
        <v>25</v>
      </c>
      <c r="J333" s="27" t="str">
        <f t="shared" ref="J333" si="36">D333</f>
        <v>094 AHX</v>
      </c>
      <c r="K333" t="s">
        <v>217</v>
      </c>
      <c r="L333">
        <f t="shared" si="34"/>
        <v>1</v>
      </c>
    </row>
    <row r="334" spans="1:12" hidden="1" x14ac:dyDescent="0.3">
      <c r="A334" s="1">
        <v>46214</v>
      </c>
      <c r="B334">
        <v>10</v>
      </c>
      <c r="C334" t="s">
        <v>21</v>
      </c>
      <c r="D334" t="s">
        <v>33</v>
      </c>
      <c r="G334" s="1">
        <v>46214</v>
      </c>
      <c r="H334">
        <v>10</v>
      </c>
      <c r="I334" s="23" t="s">
        <v>21</v>
      </c>
      <c r="J334" t="s">
        <v>33</v>
      </c>
      <c r="K334" t="s">
        <v>202</v>
      </c>
      <c r="L334">
        <f t="shared" si="34"/>
        <v>1</v>
      </c>
    </row>
    <row r="335" spans="1:12" hidden="1" x14ac:dyDescent="0.3">
      <c r="A335" s="1">
        <v>46214</v>
      </c>
      <c r="B335">
        <v>2</v>
      </c>
      <c r="C335" t="s">
        <v>21</v>
      </c>
      <c r="D335" t="s">
        <v>72</v>
      </c>
      <c r="G335" s="1">
        <v>46214</v>
      </c>
      <c r="H335">
        <v>2</v>
      </c>
      <c r="I335" t="s">
        <v>21</v>
      </c>
      <c r="J335" t="s">
        <v>72</v>
      </c>
      <c r="K335" t="s">
        <v>258</v>
      </c>
      <c r="L335">
        <f t="shared" si="34"/>
        <v>1</v>
      </c>
    </row>
    <row r="336" spans="1:12" x14ac:dyDescent="0.3">
      <c r="A336" s="1">
        <v>46214</v>
      </c>
      <c r="B336">
        <v>10</v>
      </c>
      <c r="C336" t="s">
        <v>21</v>
      </c>
      <c r="D336" t="s">
        <v>23</v>
      </c>
      <c r="G336" s="1">
        <v>46214</v>
      </c>
      <c r="H336">
        <v>10</v>
      </c>
      <c r="I336" t="s">
        <v>21</v>
      </c>
      <c r="J336" t="s">
        <v>23</v>
      </c>
      <c r="L336">
        <f t="shared" si="34"/>
        <v>1</v>
      </c>
    </row>
    <row r="337" spans="1:12" hidden="1" x14ac:dyDescent="0.3">
      <c r="A337" s="1">
        <v>46214</v>
      </c>
      <c r="B337">
        <v>10</v>
      </c>
      <c r="C337" t="s">
        <v>90</v>
      </c>
      <c r="D337" t="s">
        <v>91</v>
      </c>
      <c r="G337" s="1">
        <v>46214</v>
      </c>
      <c r="H337">
        <v>10</v>
      </c>
      <c r="I337" t="s">
        <v>90</v>
      </c>
      <c r="J337" t="s">
        <v>91</v>
      </c>
      <c r="K337" t="s">
        <v>199</v>
      </c>
      <c r="L337">
        <f t="shared" si="34"/>
        <v>1</v>
      </c>
    </row>
    <row r="338" spans="1:12" hidden="1" x14ac:dyDescent="0.3">
      <c r="A338" s="1">
        <v>46214</v>
      </c>
      <c r="B338">
        <v>10</v>
      </c>
      <c r="C338" t="s">
        <v>21</v>
      </c>
      <c r="D338" t="s">
        <v>92</v>
      </c>
      <c r="G338" s="1">
        <v>46214</v>
      </c>
      <c r="H338">
        <v>10</v>
      </c>
      <c r="I338" t="s">
        <v>21</v>
      </c>
      <c r="J338" t="s">
        <v>92</v>
      </c>
      <c r="K338" t="s">
        <v>213</v>
      </c>
      <c r="L338">
        <f t="shared" si="34"/>
        <v>1</v>
      </c>
    </row>
    <row r="339" spans="1:12" hidden="1" x14ac:dyDescent="0.3">
      <c r="A339" s="1">
        <v>46214</v>
      </c>
      <c r="B339">
        <v>10</v>
      </c>
      <c r="C339" t="s">
        <v>21</v>
      </c>
      <c r="D339" t="s">
        <v>27</v>
      </c>
      <c r="G339" s="1">
        <v>46214</v>
      </c>
      <c r="H339">
        <v>10</v>
      </c>
      <c r="I339" t="s">
        <v>21</v>
      </c>
      <c r="J339" t="s">
        <v>27</v>
      </c>
      <c r="K339" t="s">
        <v>216</v>
      </c>
      <c r="L339">
        <f t="shared" si="34"/>
        <v>1</v>
      </c>
    </row>
    <row r="340" spans="1:12" hidden="1" x14ac:dyDescent="0.3">
      <c r="A340" s="1">
        <v>46214</v>
      </c>
      <c r="B340">
        <v>10</v>
      </c>
      <c r="C340" t="s">
        <v>21</v>
      </c>
      <c r="D340" t="s">
        <v>95</v>
      </c>
      <c r="E340" t="s">
        <v>190</v>
      </c>
      <c r="G340" s="1">
        <v>46214</v>
      </c>
      <c r="H340">
        <v>10</v>
      </c>
      <c r="I340" t="s">
        <v>21</v>
      </c>
      <c r="J340" t="s">
        <v>95</v>
      </c>
      <c r="K340" s="27" t="str">
        <f t="shared" ref="K340" si="37">E340</f>
        <v>Шаубаев</v>
      </c>
      <c r="L340">
        <f t="shared" si="34"/>
        <v>1</v>
      </c>
    </row>
    <row r="341" spans="1:12" hidden="1" x14ac:dyDescent="0.3">
      <c r="A341" s="1">
        <v>46214</v>
      </c>
      <c r="B341">
        <v>10</v>
      </c>
      <c r="C341" t="s">
        <v>21</v>
      </c>
      <c r="D341" t="s">
        <v>67</v>
      </c>
      <c r="G341" s="1">
        <v>46214</v>
      </c>
      <c r="H341">
        <v>10</v>
      </c>
      <c r="I341" t="s">
        <v>21</v>
      </c>
      <c r="J341" t="s">
        <v>67</v>
      </c>
      <c r="K341" t="s">
        <v>218</v>
      </c>
      <c r="L341">
        <f t="shared" si="34"/>
        <v>1</v>
      </c>
    </row>
    <row r="342" spans="1:12" hidden="1" x14ac:dyDescent="0.3">
      <c r="A342" s="1">
        <v>46214</v>
      </c>
      <c r="B342">
        <v>2</v>
      </c>
      <c r="C342" t="s">
        <v>21</v>
      </c>
      <c r="D342" t="s">
        <v>123</v>
      </c>
      <c r="G342" s="1">
        <v>46214</v>
      </c>
      <c r="H342">
        <v>2</v>
      </c>
      <c r="I342" t="s">
        <v>21</v>
      </c>
      <c r="J342" t="s">
        <v>123</v>
      </c>
      <c r="L342">
        <f t="shared" si="34"/>
        <v>1</v>
      </c>
    </row>
    <row r="343" spans="1:12" hidden="1" x14ac:dyDescent="0.3">
      <c r="A343" s="1">
        <v>46214</v>
      </c>
      <c r="B343">
        <v>2</v>
      </c>
      <c r="C343" t="s">
        <v>21</v>
      </c>
      <c r="D343" t="s">
        <v>47</v>
      </c>
      <c r="G343" s="1">
        <v>46214</v>
      </c>
      <c r="H343">
        <v>2</v>
      </c>
      <c r="I343" t="s">
        <v>21</v>
      </c>
      <c r="J343" t="s">
        <v>47</v>
      </c>
      <c r="K343" t="s">
        <v>203</v>
      </c>
      <c r="L343">
        <f t="shared" si="34"/>
        <v>1</v>
      </c>
    </row>
    <row r="344" spans="1:12" hidden="1" x14ac:dyDescent="0.3">
      <c r="A344" s="1">
        <v>46214</v>
      </c>
      <c r="B344">
        <v>10</v>
      </c>
      <c r="C344" t="s">
        <v>96</v>
      </c>
      <c r="D344" t="s">
        <v>97</v>
      </c>
      <c r="G344" s="1">
        <v>46214</v>
      </c>
      <c r="H344">
        <v>10</v>
      </c>
      <c r="I344" t="s">
        <v>96</v>
      </c>
      <c r="J344" t="s">
        <v>97</v>
      </c>
      <c r="K344" t="s">
        <v>190</v>
      </c>
      <c r="L344">
        <f t="shared" si="34"/>
        <v>1</v>
      </c>
    </row>
    <row r="345" spans="1:12" hidden="1" x14ac:dyDescent="0.3">
      <c r="A345" s="1">
        <v>46214</v>
      </c>
      <c r="B345">
        <v>10</v>
      </c>
      <c r="C345" t="s">
        <v>21</v>
      </c>
      <c r="D345" t="s">
        <v>24</v>
      </c>
      <c r="G345" s="1">
        <v>46214</v>
      </c>
      <c r="H345">
        <v>10</v>
      </c>
      <c r="I345" t="s">
        <v>21</v>
      </c>
      <c r="J345" t="s">
        <v>24</v>
      </c>
      <c r="K345" t="s">
        <v>204</v>
      </c>
      <c r="L345">
        <f t="shared" si="34"/>
        <v>1</v>
      </c>
    </row>
    <row r="346" spans="1:12" hidden="1" x14ac:dyDescent="0.3">
      <c r="A346" s="1">
        <v>46214</v>
      </c>
      <c r="B346">
        <v>10</v>
      </c>
      <c r="C346" t="s">
        <v>13</v>
      </c>
      <c r="D346" t="s">
        <v>104</v>
      </c>
      <c r="G346" s="1">
        <v>46214</v>
      </c>
      <c r="H346">
        <v>10</v>
      </c>
      <c r="I346" t="s">
        <v>13</v>
      </c>
      <c r="J346" t="s">
        <v>104</v>
      </c>
      <c r="K346" t="s">
        <v>191</v>
      </c>
      <c r="L346">
        <f t="shared" si="34"/>
        <v>1</v>
      </c>
    </row>
    <row r="347" spans="1:12" hidden="1" x14ac:dyDescent="0.3">
      <c r="A347" s="1">
        <v>46215</v>
      </c>
      <c r="B347">
        <v>10</v>
      </c>
      <c r="C347" t="s">
        <v>98</v>
      </c>
      <c r="D347" t="s">
        <v>99</v>
      </c>
      <c r="E347" t="s">
        <v>134</v>
      </c>
      <c r="G347" s="1">
        <v>46215</v>
      </c>
      <c r="H347">
        <v>10</v>
      </c>
      <c r="I347" t="s">
        <v>98</v>
      </c>
      <c r="J347" t="s">
        <v>99</v>
      </c>
      <c r="K347" t="s">
        <v>134</v>
      </c>
      <c r="L347">
        <f t="shared" si="34"/>
        <v>1</v>
      </c>
    </row>
    <row r="348" spans="1:12" hidden="1" x14ac:dyDescent="0.3">
      <c r="A348" s="1">
        <v>46215</v>
      </c>
      <c r="B348">
        <v>10</v>
      </c>
      <c r="C348" t="s">
        <v>98</v>
      </c>
      <c r="D348" t="s">
        <v>113</v>
      </c>
      <c r="E348" t="s">
        <v>135</v>
      </c>
      <c r="G348" s="1">
        <v>46215</v>
      </c>
      <c r="H348">
        <v>10</v>
      </c>
      <c r="I348" t="s">
        <v>98</v>
      </c>
      <c r="J348" t="s">
        <v>113</v>
      </c>
      <c r="K348" t="s">
        <v>206</v>
      </c>
      <c r="L348">
        <f t="shared" si="34"/>
        <v>1</v>
      </c>
    </row>
    <row r="349" spans="1:12" hidden="1" x14ac:dyDescent="0.3">
      <c r="A349" s="1">
        <v>46215</v>
      </c>
      <c r="B349">
        <v>10</v>
      </c>
      <c r="C349" t="s">
        <v>98</v>
      </c>
      <c r="D349" t="s">
        <v>114</v>
      </c>
      <c r="E349" t="s">
        <v>136</v>
      </c>
      <c r="G349" s="1">
        <v>46215</v>
      </c>
      <c r="H349">
        <v>10</v>
      </c>
      <c r="I349" t="s">
        <v>98</v>
      </c>
      <c r="J349" t="s">
        <v>114</v>
      </c>
      <c r="K349" t="s">
        <v>136</v>
      </c>
      <c r="L349">
        <f t="shared" si="34"/>
        <v>1</v>
      </c>
    </row>
    <row r="350" spans="1:12" hidden="1" x14ac:dyDescent="0.3">
      <c r="A350" s="1">
        <v>46215</v>
      </c>
      <c r="B350">
        <v>10</v>
      </c>
      <c r="C350" t="s">
        <v>9</v>
      </c>
      <c r="D350" t="s">
        <v>7</v>
      </c>
      <c r="E350" t="s">
        <v>137</v>
      </c>
      <c r="G350" s="1">
        <v>46215</v>
      </c>
      <c r="H350">
        <v>10</v>
      </c>
      <c r="I350" t="s">
        <v>9</v>
      </c>
      <c r="J350" t="s">
        <v>7</v>
      </c>
      <c r="K350" t="s">
        <v>137</v>
      </c>
      <c r="L350">
        <f t="shared" si="34"/>
        <v>1</v>
      </c>
    </row>
    <row r="351" spans="1:12" hidden="1" x14ac:dyDescent="0.3">
      <c r="A351" s="1">
        <v>46215</v>
      </c>
      <c r="B351">
        <v>10</v>
      </c>
      <c r="C351" t="s">
        <v>9</v>
      </c>
      <c r="D351" t="s">
        <v>5</v>
      </c>
      <c r="E351" t="s">
        <v>138</v>
      </c>
      <c r="G351" s="1">
        <v>46215</v>
      </c>
      <c r="H351">
        <v>10</v>
      </c>
      <c r="I351" t="s">
        <v>9</v>
      </c>
      <c r="J351" t="s">
        <v>5</v>
      </c>
      <c r="K351" t="s">
        <v>138</v>
      </c>
      <c r="L351">
        <f t="shared" si="34"/>
        <v>1</v>
      </c>
    </row>
    <row r="352" spans="1:12" hidden="1" x14ac:dyDescent="0.3">
      <c r="A352" s="1">
        <v>46215</v>
      </c>
      <c r="B352">
        <v>10</v>
      </c>
      <c r="C352" t="s">
        <v>9</v>
      </c>
      <c r="D352" t="s">
        <v>6</v>
      </c>
      <c r="E352" t="s">
        <v>139</v>
      </c>
      <c r="G352" s="1">
        <v>46215</v>
      </c>
      <c r="H352">
        <v>10</v>
      </c>
      <c r="I352" t="s">
        <v>9</v>
      </c>
      <c r="J352" t="s">
        <v>6</v>
      </c>
      <c r="K352" t="s">
        <v>139</v>
      </c>
      <c r="L352">
        <f t="shared" si="34"/>
        <v>1</v>
      </c>
    </row>
    <row r="353" spans="1:12" hidden="1" x14ac:dyDescent="0.3">
      <c r="A353" s="1">
        <v>46215</v>
      </c>
      <c r="B353">
        <v>10</v>
      </c>
      <c r="C353" t="s">
        <v>10</v>
      </c>
      <c r="D353" t="s">
        <v>115</v>
      </c>
      <c r="E353" t="s">
        <v>140</v>
      </c>
      <c r="G353" s="1">
        <v>46215</v>
      </c>
      <c r="H353">
        <v>10</v>
      </c>
      <c r="I353" t="s">
        <v>10</v>
      </c>
      <c r="J353" t="s">
        <v>115</v>
      </c>
      <c r="K353" t="s">
        <v>140</v>
      </c>
      <c r="L353">
        <f t="shared" si="34"/>
        <v>1</v>
      </c>
    </row>
    <row r="354" spans="1:12" hidden="1" x14ac:dyDescent="0.3">
      <c r="A354" s="1">
        <v>46215</v>
      </c>
      <c r="B354">
        <v>10</v>
      </c>
      <c r="C354" t="s">
        <v>10</v>
      </c>
      <c r="D354" t="s">
        <v>12</v>
      </c>
      <c r="E354" t="s">
        <v>141</v>
      </c>
      <c r="G354" s="1">
        <v>46215</v>
      </c>
      <c r="H354">
        <v>10</v>
      </c>
      <c r="I354" t="s">
        <v>10</v>
      </c>
      <c r="J354" t="s">
        <v>12</v>
      </c>
      <c r="K354" t="s">
        <v>141</v>
      </c>
      <c r="L354">
        <f t="shared" si="34"/>
        <v>1</v>
      </c>
    </row>
    <row r="355" spans="1:12" hidden="1" x14ac:dyDescent="0.3">
      <c r="A355" s="1">
        <v>46215</v>
      </c>
      <c r="B355">
        <v>8</v>
      </c>
      <c r="C355" t="s">
        <v>10</v>
      </c>
      <c r="D355" t="s">
        <v>8</v>
      </c>
      <c r="G355" s="1">
        <v>46215</v>
      </c>
      <c r="H355">
        <v>8</v>
      </c>
      <c r="I355" t="s">
        <v>10</v>
      </c>
      <c r="J355" t="s">
        <v>8</v>
      </c>
      <c r="K355" t="s">
        <v>142</v>
      </c>
      <c r="L355">
        <f t="shared" si="34"/>
        <v>1</v>
      </c>
    </row>
    <row r="356" spans="1:12" hidden="1" x14ac:dyDescent="0.3">
      <c r="A356" s="1">
        <v>46215</v>
      </c>
      <c r="B356">
        <v>10</v>
      </c>
      <c r="C356" t="s">
        <v>11</v>
      </c>
      <c r="D356" t="s">
        <v>103</v>
      </c>
      <c r="E356" t="s">
        <v>143</v>
      </c>
      <c r="G356" s="1">
        <v>46215</v>
      </c>
      <c r="H356">
        <v>10</v>
      </c>
      <c r="I356" t="s">
        <v>11</v>
      </c>
      <c r="J356" t="s">
        <v>103</v>
      </c>
      <c r="K356" t="s">
        <v>143</v>
      </c>
      <c r="L356">
        <f t="shared" si="34"/>
        <v>1</v>
      </c>
    </row>
    <row r="357" spans="1:12" hidden="1" x14ac:dyDescent="0.3">
      <c r="A357" s="1">
        <v>46215</v>
      </c>
      <c r="B357">
        <v>10</v>
      </c>
      <c r="C357" t="s">
        <v>11</v>
      </c>
      <c r="D357" t="s">
        <v>107</v>
      </c>
      <c r="G357" s="1">
        <v>46215</v>
      </c>
      <c r="H357">
        <v>10</v>
      </c>
      <c r="I357" t="s">
        <v>11</v>
      </c>
      <c r="J357" t="s">
        <v>107</v>
      </c>
      <c r="L357">
        <f t="shared" si="34"/>
        <v>1</v>
      </c>
    </row>
    <row r="358" spans="1:12" hidden="1" x14ac:dyDescent="0.3">
      <c r="A358" s="1">
        <v>46215</v>
      </c>
      <c r="B358">
        <v>10</v>
      </c>
      <c r="C358" t="s">
        <v>11</v>
      </c>
      <c r="D358" t="s">
        <v>120</v>
      </c>
      <c r="G358" s="1">
        <v>46215</v>
      </c>
      <c r="H358">
        <v>10</v>
      </c>
      <c r="I358" t="s">
        <v>11</v>
      </c>
      <c r="J358" t="s">
        <v>120</v>
      </c>
      <c r="K358" t="s">
        <v>207</v>
      </c>
      <c r="L358">
        <f t="shared" si="34"/>
        <v>1</v>
      </c>
    </row>
    <row r="359" spans="1:12" hidden="1" x14ac:dyDescent="0.3">
      <c r="A359" s="1">
        <v>46215</v>
      </c>
      <c r="B359">
        <v>10</v>
      </c>
      <c r="C359" t="s">
        <v>11</v>
      </c>
      <c r="D359" t="s">
        <v>121</v>
      </c>
      <c r="G359" s="1">
        <v>46215</v>
      </c>
      <c r="H359">
        <v>10</v>
      </c>
      <c r="I359" t="s">
        <v>11</v>
      </c>
      <c r="J359" t="s">
        <v>121</v>
      </c>
      <c r="K359" t="s">
        <v>214</v>
      </c>
      <c r="L359">
        <f t="shared" si="34"/>
        <v>1</v>
      </c>
    </row>
    <row r="360" spans="1:12" hidden="1" x14ac:dyDescent="0.3">
      <c r="A360" s="1">
        <v>46215</v>
      </c>
      <c r="B360">
        <v>10</v>
      </c>
      <c r="C360" t="s">
        <v>13</v>
      </c>
      <c r="D360" t="s">
        <v>14</v>
      </c>
      <c r="G360" s="1">
        <v>46215</v>
      </c>
      <c r="H360">
        <v>10</v>
      </c>
      <c r="I360" t="s">
        <v>13</v>
      </c>
      <c r="J360" t="s">
        <v>14</v>
      </c>
      <c r="K360" t="s">
        <v>208</v>
      </c>
      <c r="L360">
        <f t="shared" si="34"/>
        <v>1</v>
      </c>
    </row>
    <row r="361" spans="1:12" hidden="1" x14ac:dyDescent="0.3">
      <c r="A361" s="1">
        <v>46215</v>
      </c>
      <c r="B361">
        <v>10</v>
      </c>
      <c r="C361" t="s">
        <v>13</v>
      </c>
      <c r="D361" t="s">
        <v>15</v>
      </c>
      <c r="G361" s="1">
        <v>46215</v>
      </c>
      <c r="H361">
        <v>10</v>
      </c>
      <c r="I361" t="s">
        <v>13</v>
      </c>
      <c r="J361" t="s">
        <v>15</v>
      </c>
      <c r="K361" t="s">
        <v>208</v>
      </c>
      <c r="L361">
        <f t="shared" si="34"/>
        <v>1</v>
      </c>
    </row>
    <row r="362" spans="1:12" hidden="1" x14ac:dyDescent="0.3">
      <c r="A362" s="1">
        <v>46215</v>
      </c>
      <c r="B362">
        <v>10</v>
      </c>
      <c r="C362" t="s">
        <v>13</v>
      </c>
      <c r="D362" t="s">
        <v>20</v>
      </c>
      <c r="G362" s="1">
        <v>46215</v>
      </c>
      <c r="H362">
        <v>10</v>
      </c>
      <c r="I362" t="s">
        <v>13</v>
      </c>
      <c r="J362" t="s">
        <v>20</v>
      </c>
      <c r="K362" t="s">
        <v>209</v>
      </c>
      <c r="L362">
        <f t="shared" si="34"/>
        <v>1</v>
      </c>
    </row>
    <row r="363" spans="1:12" hidden="1" x14ac:dyDescent="0.3">
      <c r="A363" s="1">
        <v>46215</v>
      </c>
      <c r="B363">
        <v>10</v>
      </c>
      <c r="C363" t="s">
        <v>13</v>
      </c>
      <c r="D363" t="s">
        <v>19</v>
      </c>
      <c r="G363" s="1">
        <v>46215</v>
      </c>
      <c r="H363">
        <v>10</v>
      </c>
      <c r="I363" t="s">
        <v>13</v>
      </c>
      <c r="J363" t="s">
        <v>19</v>
      </c>
      <c r="K363" t="s">
        <v>210</v>
      </c>
      <c r="L363">
        <f t="shared" si="34"/>
        <v>1</v>
      </c>
    </row>
    <row r="364" spans="1:12" hidden="1" x14ac:dyDescent="0.3">
      <c r="A364" s="1">
        <v>46215</v>
      </c>
      <c r="B364">
        <v>10</v>
      </c>
      <c r="C364" t="s">
        <v>13</v>
      </c>
      <c r="D364" t="s">
        <v>112</v>
      </c>
      <c r="G364" s="1">
        <v>46215</v>
      </c>
      <c r="H364">
        <v>10</v>
      </c>
      <c r="I364" t="s">
        <v>13</v>
      </c>
      <c r="J364" t="s">
        <v>112</v>
      </c>
      <c r="K364" t="s">
        <v>211</v>
      </c>
      <c r="L364">
        <f t="shared" si="34"/>
        <v>1</v>
      </c>
    </row>
    <row r="365" spans="1:12" hidden="1" x14ac:dyDescent="0.3">
      <c r="A365" s="1">
        <v>46215</v>
      </c>
      <c r="B365">
        <v>10</v>
      </c>
      <c r="C365" t="s">
        <v>13</v>
      </c>
      <c r="D365" t="s">
        <v>18</v>
      </c>
      <c r="G365" s="1">
        <v>46215</v>
      </c>
      <c r="H365">
        <v>10</v>
      </c>
      <c r="I365" t="s">
        <v>13</v>
      </c>
      <c r="J365" t="s">
        <v>18</v>
      </c>
      <c r="K365" t="s">
        <v>212</v>
      </c>
      <c r="L365">
        <f t="shared" si="34"/>
        <v>1</v>
      </c>
    </row>
    <row r="366" spans="1:12" hidden="1" x14ac:dyDescent="0.3">
      <c r="A366" s="1">
        <v>46215</v>
      </c>
      <c r="B366">
        <v>10</v>
      </c>
      <c r="C366" t="s">
        <v>13</v>
      </c>
      <c r="D366" t="s">
        <v>17</v>
      </c>
      <c r="G366" s="1">
        <v>46215</v>
      </c>
      <c r="H366">
        <v>10</v>
      </c>
      <c r="I366" t="s">
        <v>13</v>
      </c>
      <c r="J366" t="s">
        <v>17</v>
      </c>
      <c r="K366" t="s">
        <v>191</v>
      </c>
      <c r="L366">
        <f t="shared" si="34"/>
        <v>1</v>
      </c>
    </row>
    <row r="367" spans="1:12" hidden="1" x14ac:dyDescent="0.3">
      <c r="A367" s="1">
        <v>46215</v>
      </c>
      <c r="B367">
        <v>10</v>
      </c>
      <c r="C367" t="s">
        <v>13</v>
      </c>
      <c r="D367" t="s">
        <v>104</v>
      </c>
      <c r="G367" s="1">
        <v>46215</v>
      </c>
      <c r="H367">
        <v>10</v>
      </c>
      <c r="I367" t="s">
        <v>13</v>
      </c>
      <c r="J367" t="s">
        <v>104</v>
      </c>
      <c r="K367" t="s">
        <v>191</v>
      </c>
      <c r="L367">
        <f t="shared" si="34"/>
        <v>1</v>
      </c>
    </row>
    <row r="368" spans="1:12" hidden="1" x14ac:dyDescent="0.3">
      <c r="A368" s="1">
        <v>46215</v>
      </c>
      <c r="B368">
        <v>10</v>
      </c>
      <c r="C368" t="s">
        <v>13</v>
      </c>
      <c r="D368" t="s">
        <v>102</v>
      </c>
      <c r="G368" s="1">
        <v>46215</v>
      </c>
      <c r="H368">
        <v>10</v>
      </c>
      <c r="I368" t="s">
        <v>13</v>
      </c>
      <c r="J368" t="s">
        <v>102</v>
      </c>
      <c r="K368" t="s">
        <v>191</v>
      </c>
      <c r="L368">
        <f t="shared" si="34"/>
        <v>1</v>
      </c>
    </row>
    <row r="369" spans="1:12" hidden="1" x14ac:dyDescent="0.3">
      <c r="A369" s="1">
        <v>46215</v>
      </c>
      <c r="B369">
        <v>10</v>
      </c>
      <c r="C369" t="s">
        <v>21</v>
      </c>
      <c r="D369" t="s">
        <v>22</v>
      </c>
      <c r="G369" s="1">
        <v>46215</v>
      </c>
      <c r="H369">
        <v>10</v>
      </c>
      <c r="I369" t="s">
        <v>21</v>
      </c>
      <c r="J369" t="s">
        <v>22</v>
      </c>
      <c r="K369" t="s">
        <v>221</v>
      </c>
      <c r="L369">
        <f t="shared" si="34"/>
        <v>1</v>
      </c>
    </row>
    <row r="370" spans="1:12" x14ac:dyDescent="0.3">
      <c r="A370" s="1">
        <v>46215</v>
      </c>
      <c r="B370">
        <v>10</v>
      </c>
      <c r="C370" t="s">
        <v>21</v>
      </c>
      <c r="D370" t="s">
        <v>23</v>
      </c>
      <c r="G370" s="1">
        <v>46215</v>
      </c>
      <c r="H370">
        <v>10</v>
      </c>
      <c r="I370" t="s">
        <v>21</v>
      </c>
      <c r="J370" t="s">
        <v>23</v>
      </c>
      <c r="L370">
        <f t="shared" si="34"/>
        <v>1</v>
      </c>
    </row>
    <row r="371" spans="1:12" hidden="1" x14ac:dyDescent="0.3">
      <c r="A371" s="1">
        <v>46215</v>
      </c>
      <c r="B371">
        <v>10</v>
      </c>
      <c r="C371" t="s">
        <v>90</v>
      </c>
      <c r="D371" t="s">
        <v>91</v>
      </c>
      <c r="G371" s="1">
        <v>46215</v>
      </c>
      <c r="H371">
        <v>10</v>
      </c>
      <c r="I371" t="s">
        <v>90</v>
      </c>
      <c r="J371" t="s">
        <v>91</v>
      </c>
      <c r="K371" t="s">
        <v>199</v>
      </c>
      <c r="L371">
        <f t="shared" si="34"/>
        <v>1</v>
      </c>
    </row>
    <row r="372" spans="1:12" hidden="1" x14ac:dyDescent="0.3">
      <c r="A372" s="1">
        <v>46215</v>
      </c>
      <c r="B372">
        <v>10</v>
      </c>
      <c r="C372" t="s">
        <v>21</v>
      </c>
      <c r="D372" t="s">
        <v>92</v>
      </c>
      <c r="G372" s="1">
        <v>46215</v>
      </c>
      <c r="H372">
        <v>10</v>
      </c>
      <c r="I372" t="s">
        <v>21</v>
      </c>
      <c r="J372" t="s">
        <v>92</v>
      </c>
      <c r="K372" t="s">
        <v>213</v>
      </c>
      <c r="L372">
        <f t="shared" si="34"/>
        <v>1</v>
      </c>
    </row>
    <row r="373" spans="1:12" hidden="1" x14ac:dyDescent="0.3">
      <c r="A373" s="1">
        <v>46215</v>
      </c>
      <c r="B373">
        <v>10</v>
      </c>
      <c r="C373" t="s">
        <v>21</v>
      </c>
      <c r="D373" t="s">
        <v>95</v>
      </c>
      <c r="E373" t="s">
        <v>190</v>
      </c>
      <c r="G373" s="1">
        <v>46215</v>
      </c>
      <c r="H373">
        <v>10</v>
      </c>
      <c r="I373" t="s">
        <v>21</v>
      </c>
      <c r="J373" t="s">
        <v>95</v>
      </c>
      <c r="K373" s="27" t="str">
        <f t="shared" ref="K373" si="38">E373</f>
        <v>Шаубаев</v>
      </c>
      <c r="L373">
        <f t="shared" si="34"/>
        <v>1</v>
      </c>
    </row>
    <row r="374" spans="1:12" hidden="1" x14ac:dyDescent="0.3">
      <c r="A374" s="1">
        <v>46215</v>
      </c>
      <c r="B374">
        <v>10</v>
      </c>
      <c r="C374" t="s">
        <v>21</v>
      </c>
      <c r="D374" t="s">
        <v>27</v>
      </c>
      <c r="G374" s="1">
        <v>46215</v>
      </c>
      <c r="H374">
        <v>10</v>
      </c>
      <c r="I374" t="s">
        <v>21</v>
      </c>
      <c r="J374" t="s">
        <v>27</v>
      </c>
      <c r="K374" t="s">
        <v>216</v>
      </c>
      <c r="L374">
        <f t="shared" si="34"/>
        <v>1</v>
      </c>
    </row>
    <row r="375" spans="1:12" hidden="1" x14ac:dyDescent="0.3">
      <c r="A375" s="1">
        <v>46215</v>
      </c>
      <c r="B375">
        <v>10</v>
      </c>
      <c r="C375" t="s">
        <v>21</v>
      </c>
      <c r="D375" t="s">
        <v>67</v>
      </c>
      <c r="G375" s="1">
        <v>46215</v>
      </c>
      <c r="H375">
        <v>10</v>
      </c>
      <c r="I375" t="s">
        <v>21</v>
      </c>
      <c r="J375" t="s">
        <v>67</v>
      </c>
      <c r="K375" t="s">
        <v>218</v>
      </c>
      <c r="L375">
        <f t="shared" si="34"/>
        <v>1</v>
      </c>
    </row>
    <row r="376" spans="1:12" hidden="1" x14ac:dyDescent="0.3">
      <c r="A376" s="1">
        <v>46215</v>
      </c>
      <c r="B376">
        <v>10</v>
      </c>
      <c r="C376" t="s">
        <v>96</v>
      </c>
      <c r="D376" t="s">
        <v>97</v>
      </c>
      <c r="G376" s="1">
        <v>46215</v>
      </c>
      <c r="H376">
        <v>10</v>
      </c>
      <c r="I376" t="s">
        <v>96</v>
      </c>
      <c r="J376" t="s">
        <v>97</v>
      </c>
      <c r="K376" t="s">
        <v>190</v>
      </c>
      <c r="L376">
        <f t="shared" si="34"/>
        <v>1</v>
      </c>
    </row>
    <row r="377" spans="1:12" hidden="1" x14ac:dyDescent="0.3">
      <c r="A377" s="1">
        <v>46215</v>
      </c>
      <c r="B377">
        <v>3</v>
      </c>
      <c r="C377" t="s">
        <v>21</v>
      </c>
      <c r="D377" t="s">
        <v>124</v>
      </c>
      <c r="G377" s="1">
        <v>46215</v>
      </c>
      <c r="H377">
        <v>3</v>
      </c>
      <c r="I377" t="s">
        <v>21</v>
      </c>
      <c r="J377" t="s">
        <v>124</v>
      </c>
      <c r="L377">
        <f t="shared" si="34"/>
        <v>1</v>
      </c>
    </row>
    <row r="378" spans="1:12" hidden="1" x14ac:dyDescent="0.3">
      <c r="A378" s="1">
        <v>46215</v>
      </c>
      <c r="B378">
        <v>10</v>
      </c>
      <c r="C378" t="s">
        <v>21</v>
      </c>
      <c r="D378" t="s">
        <v>28</v>
      </c>
      <c r="G378" s="1">
        <v>46215</v>
      </c>
      <c r="H378">
        <v>10</v>
      </c>
      <c r="I378" t="s">
        <v>21</v>
      </c>
      <c r="J378" t="s">
        <v>28</v>
      </c>
      <c r="L378">
        <f t="shared" si="34"/>
        <v>1</v>
      </c>
    </row>
    <row r="379" spans="1:12" hidden="1" x14ac:dyDescent="0.3">
      <c r="A379" s="1">
        <v>46215</v>
      </c>
      <c r="B379">
        <v>10</v>
      </c>
      <c r="C379" t="s">
        <v>21</v>
      </c>
      <c r="D379" t="s">
        <v>44</v>
      </c>
      <c r="G379" s="1">
        <v>46215</v>
      </c>
      <c r="H379">
        <v>10</v>
      </c>
      <c r="I379" t="s">
        <v>21</v>
      </c>
      <c r="J379" t="s">
        <v>44</v>
      </c>
      <c r="K379" t="s">
        <v>257</v>
      </c>
      <c r="L379">
        <f t="shared" si="34"/>
        <v>1</v>
      </c>
    </row>
    <row r="380" spans="1:12" hidden="1" x14ac:dyDescent="0.3">
      <c r="A380" s="1">
        <v>46215</v>
      </c>
      <c r="B380">
        <v>10</v>
      </c>
      <c r="C380" t="s">
        <v>25</v>
      </c>
      <c r="D380" t="s">
        <v>57</v>
      </c>
      <c r="G380" s="1">
        <v>46215</v>
      </c>
      <c r="H380">
        <v>10</v>
      </c>
      <c r="I380" t="s">
        <v>25</v>
      </c>
      <c r="J380" s="27" t="str">
        <f t="shared" ref="J380" si="39">D380</f>
        <v>094 AHX</v>
      </c>
      <c r="K380" t="s">
        <v>217</v>
      </c>
      <c r="L380">
        <f t="shared" si="34"/>
        <v>1</v>
      </c>
    </row>
    <row r="381" spans="1:12" hidden="1" x14ac:dyDescent="0.3">
      <c r="A381" s="1">
        <v>46215</v>
      </c>
      <c r="B381">
        <v>10</v>
      </c>
      <c r="C381" t="s">
        <v>21</v>
      </c>
      <c r="D381" t="s">
        <v>33</v>
      </c>
      <c r="G381" s="1">
        <v>46215</v>
      </c>
      <c r="H381">
        <v>10</v>
      </c>
      <c r="I381" s="23" t="s">
        <v>21</v>
      </c>
      <c r="J381" t="s">
        <v>33</v>
      </c>
      <c r="K381" t="s">
        <v>202</v>
      </c>
      <c r="L381">
        <f t="shared" si="34"/>
        <v>1</v>
      </c>
    </row>
    <row r="382" spans="1:12" hidden="1" x14ac:dyDescent="0.3">
      <c r="A382" s="1">
        <v>46215</v>
      </c>
      <c r="B382">
        <v>10</v>
      </c>
      <c r="C382" t="s">
        <v>21</v>
      </c>
      <c r="D382" t="s">
        <v>24</v>
      </c>
      <c r="G382" s="1">
        <v>46215</v>
      </c>
      <c r="H382">
        <v>10</v>
      </c>
      <c r="I382" t="s">
        <v>21</v>
      </c>
      <c r="J382" t="s">
        <v>24</v>
      </c>
      <c r="K382" t="s">
        <v>204</v>
      </c>
      <c r="L382">
        <f t="shared" si="34"/>
        <v>1</v>
      </c>
    </row>
    <row r="383" spans="1:12" hidden="1" x14ac:dyDescent="0.3">
      <c r="A383" s="1">
        <v>46215</v>
      </c>
      <c r="B383">
        <v>10</v>
      </c>
      <c r="C383" t="s">
        <v>105</v>
      </c>
      <c r="D383" t="s">
        <v>110</v>
      </c>
      <c r="G383" s="1">
        <v>46215</v>
      </c>
      <c r="H383">
        <v>10</v>
      </c>
      <c r="I383" t="s">
        <v>105</v>
      </c>
      <c r="J383" t="s">
        <v>110</v>
      </c>
      <c r="K383" t="s">
        <v>252</v>
      </c>
      <c r="L383">
        <f t="shared" si="34"/>
        <v>1</v>
      </c>
    </row>
    <row r="384" spans="1:12" hidden="1" x14ac:dyDescent="0.3">
      <c r="A384" s="1">
        <v>46215</v>
      </c>
      <c r="B384">
        <v>10</v>
      </c>
      <c r="C384" t="s">
        <v>98</v>
      </c>
      <c r="D384" t="s">
        <v>114</v>
      </c>
      <c r="E384" t="s">
        <v>136</v>
      </c>
      <c r="G384" s="1">
        <v>46215</v>
      </c>
      <c r="H384">
        <v>10</v>
      </c>
      <c r="I384" t="s">
        <v>98</v>
      </c>
      <c r="J384" t="s">
        <v>114</v>
      </c>
      <c r="K384" s="27" t="str">
        <f t="shared" ref="K384:K385" si="40">E384</f>
        <v>Балгазин</v>
      </c>
      <c r="L384">
        <f t="shared" si="34"/>
        <v>1</v>
      </c>
    </row>
    <row r="385" spans="1:12" hidden="1" x14ac:dyDescent="0.3">
      <c r="A385" s="1">
        <v>46215</v>
      </c>
      <c r="B385">
        <v>10</v>
      </c>
      <c r="C385" t="s">
        <v>11</v>
      </c>
      <c r="D385" t="s">
        <v>103</v>
      </c>
      <c r="E385" t="s">
        <v>143</v>
      </c>
      <c r="G385" s="1">
        <v>46215</v>
      </c>
      <c r="H385">
        <v>10</v>
      </c>
      <c r="I385" t="s">
        <v>11</v>
      </c>
      <c r="J385" t="s">
        <v>103</v>
      </c>
      <c r="K385" s="27" t="str">
        <f t="shared" si="40"/>
        <v>Саликов</v>
      </c>
      <c r="L385">
        <f t="shared" si="34"/>
        <v>1</v>
      </c>
    </row>
    <row r="386" spans="1:12" hidden="1" x14ac:dyDescent="0.3">
      <c r="A386" s="1">
        <v>46216</v>
      </c>
      <c r="B386">
        <v>10</v>
      </c>
      <c r="C386" t="s">
        <v>98</v>
      </c>
      <c r="D386" t="s">
        <v>99</v>
      </c>
      <c r="E386" t="s">
        <v>134</v>
      </c>
      <c r="G386" s="1">
        <v>46216</v>
      </c>
      <c r="H386">
        <v>10</v>
      </c>
      <c r="I386" t="s">
        <v>98</v>
      </c>
      <c r="J386" t="s">
        <v>99</v>
      </c>
      <c r="K386" t="s">
        <v>134</v>
      </c>
      <c r="L386">
        <f t="shared" si="34"/>
        <v>1</v>
      </c>
    </row>
    <row r="387" spans="1:12" hidden="1" x14ac:dyDescent="0.3">
      <c r="A387" s="1">
        <v>46216</v>
      </c>
      <c r="B387">
        <v>10</v>
      </c>
      <c r="C387" t="s">
        <v>98</v>
      </c>
      <c r="D387" t="s">
        <v>113</v>
      </c>
      <c r="E387" t="s">
        <v>135</v>
      </c>
      <c r="G387" s="1">
        <v>46216</v>
      </c>
      <c r="H387">
        <v>10</v>
      </c>
      <c r="I387" t="s">
        <v>98</v>
      </c>
      <c r="J387" t="s">
        <v>113</v>
      </c>
      <c r="K387" t="s">
        <v>206</v>
      </c>
      <c r="L387">
        <f t="shared" ref="L387:L450" si="41">IF(J387=D387,1,0)</f>
        <v>1</v>
      </c>
    </row>
    <row r="388" spans="1:12" hidden="1" x14ac:dyDescent="0.3">
      <c r="A388" s="1">
        <v>46216</v>
      </c>
      <c r="B388">
        <v>10</v>
      </c>
      <c r="C388" t="s">
        <v>98</v>
      </c>
      <c r="D388" t="s">
        <v>114</v>
      </c>
      <c r="E388" t="s">
        <v>136</v>
      </c>
      <c r="G388" s="1">
        <v>46216</v>
      </c>
      <c r="H388">
        <v>10</v>
      </c>
      <c r="I388" t="s">
        <v>98</v>
      </c>
      <c r="J388" t="s">
        <v>114</v>
      </c>
      <c r="K388" t="s">
        <v>136</v>
      </c>
      <c r="L388">
        <f t="shared" si="41"/>
        <v>1</v>
      </c>
    </row>
    <row r="389" spans="1:12" hidden="1" x14ac:dyDescent="0.3">
      <c r="A389" s="1">
        <v>46216</v>
      </c>
      <c r="B389">
        <v>10</v>
      </c>
      <c r="C389" t="s">
        <v>9</v>
      </c>
      <c r="D389" t="s">
        <v>7</v>
      </c>
      <c r="E389" t="s">
        <v>137</v>
      </c>
      <c r="G389" s="1">
        <v>46216</v>
      </c>
      <c r="H389">
        <v>10</v>
      </c>
      <c r="I389" t="s">
        <v>9</v>
      </c>
      <c r="J389" s="27" t="str">
        <f t="shared" ref="J389" si="42">D389</f>
        <v>795 AED</v>
      </c>
      <c r="K389" t="s">
        <v>137</v>
      </c>
      <c r="L389">
        <f t="shared" si="41"/>
        <v>1</v>
      </c>
    </row>
    <row r="390" spans="1:12" hidden="1" x14ac:dyDescent="0.3">
      <c r="A390" s="1">
        <v>46216</v>
      </c>
      <c r="B390">
        <v>10</v>
      </c>
      <c r="D390" t="s">
        <v>5</v>
      </c>
      <c r="E390" t="s">
        <v>138</v>
      </c>
      <c r="G390" s="1">
        <v>46216</v>
      </c>
      <c r="H390">
        <v>10</v>
      </c>
      <c r="I390" t="s">
        <v>9</v>
      </c>
      <c r="J390" t="s">
        <v>5</v>
      </c>
      <c r="K390" t="s">
        <v>138</v>
      </c>
      <c r="L390">
        <f t="shared" si="41"/>
        <v>1</v>
      </c>
    </row>
    <row r="391" spans="1:12" hidden="1" x14ac:dyDescent="0.3">
      <c r="A391" s="1">
        <v>46216</v>
      </c>
      <c r="B391">
        <v>10</v>
      </c>
      <c r="C391" t="s">
        <v>9</v>
      </c>
      <c r="D391" t="s">
        <v>6</v>
      </c>
      <c r="E391" t="s">
        <v>139</v>
      </c>
      <c r="G391" s="1">
        <v>46216</v>
      </c>
      <c r="H391">
        <v>10</v>
      </c>
      <c r="I391" t="s">
        <v>9</v>
      </c>
      <c r="J391" t="s">
        <v>6</v>
      </c>
      <c r="K391" t="s">
        <v>139</v>
      </c>
      <c r="L391">
        <f t="shared" si="41"/>
        <v>1</v>
      </c>
    </row>
    <row r="392" spans="1:12" hidden="1" x14ac:dyDescent="0.3">
      <c r="A392" s="1">
        <v>46216</v>
      </c>
      <c r="B392">
        <v>10</v>
      </c>
      <c r="C392" t="s">
        <v>10</v>
      </c>
      <c r="D392" t="s">
        <v>115</v>
      </c>
      <c r="E392" t="s">
        <v>140</v>
      </c>
      <c r="G392" s="1">
        <v>46216</v>
      </c>
      <c r="H392">
        <v>10</v>
      </c>
      <c r="I392" t="s">
        <v>10</v>
      </c>
      <c r="J392" t="s">
        <v>115</v>
      </c>
      <c r="K392" t="s">
        <v>140</v>
      </c>
      <c r="L392">
        <f t="shared" si="41"/>
        <v>1</v>
      </c>
    </row>
    <row r="393" spans="1:12" hidden="1" x14ac:dyDescent="0.3">
      <c r="A393" s="1">
        <v>46216</v>
      </c>
      <c r="B393">
        <v>10</v>
      </c>
      <c r="C393" t="s">
        <v>10</v>
      </c>
      <c r="D393" t="s">
        <v>12</v>
      </c>
      <c r="E393" t="s">
        <v>141</v>
      </c>
      <c r="G393" s="1">
        <v>46216</v>
      </c>
      <c r="H393">
        <v>10</v>
      </c>
      <c r="I393" t="s">
        <v>10</v>
      </c>
      <c r="J393" t="s">
        <v>12</v>
      </c>
      <c r="K393" t="s">
        <v>141</v>
      </c>
      <c r="L393">
        <f t="shared" si="41"/>
        <v>1</v>
      </c>
    </row>
    <row r="394" spans="1:12" hidden="1" x14ac:dyDescent="0.3">
      <c r="A394" s="1">
        <v>46216</v>
      </c>
      <c r="B394">
        <v>10</v>
      </c>
      <c r="C394" t="s">
        <v>10</v>
      </c>
      <c r="D394" t="s">
        <v>8</v>
      </c>
      <c r="E394" t="s">
        <v>142</v>
      </c>
      <c r="G394" s="1">
        <v>46216</v>
      </c>
      <c r="H394">
        <v>10</v>
      </c>
      <c r="I394" t="s">
        <v>10</v>
      </c>
      <c r="J394" t="s">
        <v>8</v>
      </c>
      <c r="K394" t="s">
        <v>142</v>
      </c>
      <c r="L394">
        <f t="shared" si="41"/>
        <v>1</v>
      </c>
    </row>
    <row r="395" spans="1:12" hidden="1" x14ac:dyDescent="0.3">
      <c r="A395" s="1">
        <v>46216</v>
      </c>
      <c r="B395">
        <v>10</v>
      </c>
      <c r="C395" t="s">
        <v>11</v>
      </c>
      <c r="D395" t="s">
        <v>103</v>
      </c>
      <c r="E395" t="s">
        <v>143</v>
      </c>
      <c r="G395" s="1">
        <v>46216</v>
      </c>
      <c r="H395">
        <v>10</v>
      </c>
      <c r="I395" t="s">
        <v>11</v>
      </c>
      <c r="J395" t="s">
        <v>103</v>
      </c>
      <c r="K395" t="s">
        <v>143</v>
      </c>
      <c r="L395">
        <f t="shared" si="41"/>
        <v>1</v>
      </c>
    </row>
    <row r="396" spans="1:12" hidden="1" x14ac:dyDescent="0.3">
      <c r="A396" s="1">
        <v>46216</v>
      </c>
      <c r="B396">
        <v>10</v>
      </c>
      <c r="C396" t="s">
        <v>11</v>
      </c>
      <c r="D396" t="s">
        <v>107</v>
      </c>
      <c r="G396" s="1">
        <v>46216</v>
      </c>
      <c r="H396">
        <v>10</v>
      </c>
      <c r="I396" t="s">
        <v>11</v>
      </c>
      <c r="J396" s="27" t="str">
        <f t="shared" ref="J396:J399" si="43">D396</f>
        <v>013 AKD</v>
      </c>
      <c r="L396">
        <f t="shared" si="41"/>
        <v>1</v>
      </c>
    </row>
    <row r="397" spans="1:12" hidden="1" x14ac:dyDescent="0.3">
      <c r="A397" s="1">
        <v>46216</v>
      </c>
      <c r="B397">
        <v>10</v>
      </c>
      <c r="C397" t="s">
        <v>11</v>
      </c>
      <c r="D397" t="s">
        <v>120</v>
      </c>
      <c r="G397" s="1">
        <v>46216</v>
      </c>
      <c r="H397">
        <v>10</v>
      </c>
      <c r="I397" t="s">
        <v>11</v>
      </c>
      <c r="J397" s="27" t="str">
        <f t="shared" si="43"/>
        <v>695 AWD</v>
      </c>
      <c r="K397" t="s">
        <v>207</v>
      </c>
      <c r="L397">
        <f t="shared" si="41"/>
        <v>1</v>
      </c>
    </row>
    <row r="398" spans="1:12" hidden="1" x14ac:dyDescent="0.3">
      <c r="A398" s="1">
        <v>46216</v>
      </c>
      <c r="B398">
        <v>10</v>
      </c>
      <c r="C398" t="s">
        <v>11</v>
      </c>
      <c r="D398" t="s">
        <v>121</v>
      </c>
      <c r="G398" s="1">
        <v>46216</v>
      </c>
      <c r="H398">
        <v>10</v>
      </c>
      <c r="I398" t="s">
        <v>11</v>
      </c>
      <c r="J398" t="s">
        <v>121</v>
      </c>
      <c r="K398" t="s">
        <v>214</v>
      </c>
      <c r="L398">
        <f t="shared" si="41"/>
        <v>1</v>
      </c>
    </row>
    <row r="399" spans="1:12" hidden="1" x14ac:dyDescent="0.3">
      <c r="A399" s="1">
        <v>46216</v>
      </c>
      <c r="B399">
        <v>10</v>
      </c>
      <c r="C399" t="s">
        <v>105</v>
      </c>
      <c r="D399" t="s">
        <v>106</v>
      </c>
      <c r="G399" s="1">
        <v>46216</v>
      </c>
      <c r="H399">
        <v>10</v>
      </c>
      <c r="I399" t="s">
        <v>105</v>
      </c>
      <c r="J399" s="27" t="str">
        <f t="shared" si="43"/>
        <v>263 AEG</v>
      </c>
      <c r="K399" t="s">
        <v>205</v>
      </c>
      <c r="L399">
        <f t="shared" si="41"/>
        <v>1</v>
      </c>
    </row>
    <row r="400" spans="1:12" hidden="1" x14ac:dyDescent="0.3">
      <c r="A400" s="1">
        <v>46216</v>
      </c>
      <c r="B400">
        <v>10</v>
      </c>
      <c r="D400" t="s">
        <v>144</v>
      </c>
      <c r="G400" s="1">
        <v>46216</v>
      </c>
      <c r="H400">
        <v>10</v>
      </c>
      <c r="I400" t="s">
        <v>105</v>
      </c>
      <c r="J400" t="s">
        <v>219</v>
      </c>
      <c r="K400" t="s">
        <v>215</v>
      </c>
      <c r="L400">
        <f t="shared" si="41"/>
        <v>0</v>
      </c>
    </row>
    <row r="401" spans="1:12" hidden="1" x14ac:dyDescent="0.3">
      <c r="A401" s="1">
        <v>46216</v>
      </c>
      <c r="B401">
        <v>10</v>
      </c>
      <c r="C401" t="s">
        <v>13</v>
      </c>
      <c r="D401" t="s">
        <v>14</v>
      </c>
      <c r="G401" s="1">
        <v>46216</v>
      </c>
      <c r="H401">
        <v>10</v>
      </c>
      <c r="I401" t="s">
        <v>13</v>
      </c>
      <c r="J401" s="28" t="s">
        <v>14</v>
      </c>
      <c r="K401" t="s">
        <v>208</v>
      </c>
      <c r="L401">
        <f t="shared" si="41"/>
        <v>1</v>
      </c>
    </row>
    <row r="402" spans="1:12" hidden="1" x14ac:dyDescent="0.3">
      <c r="A402" s="1">
        <v>46216</v>
      </c>
      <c r="B402">
        <v>10</v>
      </c>
      <c r="C402" t="s">
        <v>13</v>
      </c>
      <c r="D402" t="s">
        <v>15</v>
      </c>
      <c r="G402" s="1">
        <v>46216</v>
      </c>
      <c r="H402">
        <v>10</v>
      </c>
      <c r="I402" t="s">
        <v>13</v>
      </c>
      <c r="J402" s="28" t="s">
        <v>15</v>
      </c>
      <c r="K402" t="s">
        <v>208</v>
      </c>
      <c r="L402">
        <f t="shared" si="41"/>
        <v>1</v>
      </c>
    </row>
    <row r="403" spans="1:12" hidden="1" x14ac:dyDescent="0.3">
      <c r="A403" s="1">
        <v>46216</v>
      </c>
      <c r="B403">
        <v>10</v>
      </c>
      <c r="C403" t="s">
        <v>13</v>
      </c>
      <c r="D403" t="s">
        <v>20</v>
      </c>
      <c r="G403" s="1">
        <v>46216</v>
      </c>
      <c r="H403">
        <v>10</v>
      </c>
      <c r="I403" t="s">
        <v>13</v>
      </c>
      <c r="J403" s="28" t="s">
        <v>20</v>
      </c>
      <c r="K403" t="s">
        <v>209</v>
      </c>
      <c r="L403">
        <f t="shared" si="41"/>
        <v>1</v>
      </c>
    </row>
    <row r="404" spans="1:12" hidden="1" x14ac:dyDescent="0.3">
      <c r="A404" s="1">
        <v>46216</v>
      </c>
      <c r="B404">
        <v>10</v>
      </c>
      <c r="C404" t="s">
        <v>13</v>
      </c>
      <c r="D404" t="s">
        <v>19</v>
      </c>
      <c r="G404" s="1">
        <v>46216</v>
      </c>
      <c r="H404">
        <v>10</v>
      </c>
      <c r="I404" t="s">
        <v>13</v>
      </c>
      <c r="J404" s="28" t="s">
        <v>19</v>
      </c>
      <c r="K404" t="s">
        <v>210</v>
      </c>
      <c r="L404">
        <f t="shared" si="41"/>
        <v>1</v>
      </c>
    </row>
    <row r="405" spans="1:12" hidden="1" x14ac:dyDescent="0.3">
      <c r="A405" s="1">
        <v>46216</v>
      </c>
      <c r="B405">
        <v>10</v>
      </c>
      <c r="C405" t="s">
        <v>13</v>
      </c>
      <c r="D405" t="s">
        <v>112</v>
      </c>
      <c r="G405" s="1">
        <v>46216</v>
      </c>
      <c r="H405">
        <v>10</v>
      </c>
      <c r="I405" t="s">
        <v>13</v>
      </c>
      <c r="J405" s="28" t="s">
        <v>112</v>
      </c>
      <c r="K405" t="s">
        <v>211</v>
      </c>
      <c r="L405">
        <f t="shared" si="41"/>
        <v>1</v>
      </c>
    </row>
    <row r="406" spans="1:12" hidden="1" x14ac:dyDescent="0.3">
      <c r="A406" s="1">
        <v>46216</v>
      </c>
      <c r="B406">
        <v>10</v>
      </c>
      <c r="D406" t="s">
        <v>18</v>
      </c>
      <c r="G406" s="1">
        <v>46216</v>
      </c>
      <c r="H406">
        <v>10</v>
      </c>
      <c r="I406" t="s">
        <v>13</v>
      </c>
      <c r="J406" s="28" t="s">
        <v>18</v>
      </c>
      <c r="K406" t="s">
        <v>212</v>
      </c>
      <c r="L406">
        <f t="shared" si="41"/>
        <v>1</v>
      </c>
    </row>
    <row r="407" spans="1:12" hidden="1" x14ac:dyDescent="0.3">
      <c r="A407" s="1">
        <v>46216</v>
      </c>
      <c r="B407">
        <v>10</v>
      </c>
      <c r="C407" t="s">
        <v>13</v>
      </c>
      <c r="D407" t="s">
        <v>17</v>
      </c>
      <c r="G407" s="1">
        <v>46216</v>
      </c>
      <c r="H407">
        <v>10</v>
      </c>
      <c r="I407" t="s">
        <v>13</v>
      </c>
      <c r="J407" s="28" t="s">
        <v>17</v>
      </c>
      <c r="K407" t="s">
        <v>191</v>
      </c>
      <c r="L407">
        <f t="shared" si="41"/>
        <v>1</v>
      </c>
    </row>
    <row r="408" spans="1:12" hidden="1" x14ac:dyDescent="0.3">
      <c r="A408" s="1">
        <v>46216</v>
      </c>
      <c r="B408">
        <v>10</v>
      </c>
      <c r="C408" t="s">
        <v>13</v>
      </c>
      <c r="D408" t="s">
        <v>104</v>
      </c>
      <c r="G408" s="1">
        <v>46216</v>
      </c>
      <c r="H408">
        <v>10</v>
      </c>
      <c r="I408" t="s">
        <v>13</v>
      </c>
      <c r="J408" s="28" t="s">
        <v>104</v>
      </c>
      <c r="K408" t="s">
        <v>191</v>
      </c>
      <c r="L408">
        <f t="shared" si="41"/>
        <v>1</v>
      </c>
    </row>
    <row r="409" spans="1:12" hidden="1" x14ac:dyDescent="0.3">
      <c r="A409" s="1">
        <v>46216</v>
      </c>
      <c r="B409">
        <v>10</v>
      </c>
      <c r="C409" t="s">
        <v>13</v>
      </c>
      <c r="D409" t="s">
        <v>102</v>
      </c>
      <c r="G409" s="1">
        <v>46216</v>
      </c>
      <c r="H409">
        <v>10</v>
      </c>
      <c r="I409" t="s">
        <v>13</v>
      </c>
      <c r="J409" s="28" t="s">
        <v>102</v>
      </c>
      <c r="K409" t="s">
        <v>191</v>
      </c>
      <c r="L409">
        <f t="shared" si="41"/>
        <v>1</v>
      </c>
    </row>
    <row r="410" spans="1:12" hidden="1" x14ac:dyDescent="0.3">
      <c r="A410" s="1">
        <v>46216</v>
      </c>
      <c r="B410">
        <v>10</v>
      </c>
      <c r="C410" t="s">
        <v>21</v>
      </c>
      <c r="D410" t="s">
        <v>22</v>
      </c>
      <c r="G410" s="1">
        <v>46216</v>
      </c>
      <c r="H410">
        <v>10</v>
      </c>
      <c r="I410" t="s">
        <v>21</v>
      </c>
      <c r="J410" s="28" t="s">
        <v>22</v>
      </c>
      <c r="K410" t="s">
        <v>221</v>
      </c>
      <c r="L410">
        <f t="shared" si="41"/>
        <v>1</v>
      </c>
    </row>
    <row r="411" spans="1:12" hidden="1" x14ac:dyDescent="0.3">
      <c r="A411" s="1">
        <v>46216</v>
      </c>
      <c r="B411">
        <v>10</v>
      </c>
      <c r="C411" t="s">
        <v>21</v>
      </c>
      <c r="D411" t="s">
        <v>92</v>
      </c>
      <c r="G411" s="1">
        <v>46216</v>
      </c>
      <c r="H411">
        <v>10</v>
      </c>
      <c r="I411" t="s">
        <v>21</v>
      </c>
      <c r="J411" s="28" t="s">
        <v>92</v>
      </c>
      <c r="K411" t="s">
        <v>213</v>
      </c>
      <c r="L411">
        <f t="shared" si="41"/>
        <v>1</v>
      </c>
    </row>
    <row r="412" spans="1:12" hidden="1" x14ac:dyDescent="0.3">
      <c r="A412" s="1">
        <v>46216</v>
      </c>
      <c r="B412">
        <v>10</v>
      </c>
      <c r="D412" t="s">
        <v>91</v>
      </c>
      <c r="G412" s="1">
        <v>46216</v>
      </c>
      <c r="H412">
        <v>10</v>
      </c>
      <c r="I412" t="s">
        <v>90</v>
      </c>
      <c r="J412" s="28" t="s">
        <v>91</v>
      </c>
      <c r="K412" t="s">
        <v>199</v>
      </c>
      <c r="L412">
        <f t="shared" si="41"/>
        <v>1</v>
      </c>
    </row>
    <row r="413" spans="1:12" hidden="1" x14ac:dyDescent="0.3">
      <c r="A413" s="1">
        <v>46216</v>
      </c>
      <c r="B413">
        <v>10</v>
      </c>
      <c r="C413" t="s">
        <v>21</v>
      </c>
      <c r="D413" t="s">
        <v>27</v>
      </c>
      <c r="G413" s="1">
        <v>46216</v>
      </c>
      <c r="H413">
        <v>10</v>
      </c>
      <c r="I413" t="s">
        <v>21</v>
      </c>
      <c r="J413" s="28" t="s">
        <v>27</v>
      </c>
      <c r="K413" t="s">
        <v>216</v>
      </c>
      <c r="L413">
        <f t="shared" si="41"/>
        <v>1</v>
      </c>
    </row>
    <row r="414" spans="1:12" hidden="1" x14ac:dyDescent="0.3">
      <c r="A414" s="1">
        <v>46216</v>
      </c>
      <c r="B414">
        <v>10</v>
      </c>
      <c r="C414" t="s">
        <v>25</v>
      </c>
      <c r="D414" t="s">
        <v>57</v>
      </c>
      <c r="G414" s="1">
        <v>46216</v>
      </c>
      <c r="H414">
        <v>10</v>
      </c>
      <c r="I414" t="s">
        <v>25</v>
      </c>
      <c r="J414" s="28" t="s">
        <v>57</v>
      </c>
      <c r="K414" t="s">
        <v>217</v>
      </c>
      <c r="L414">
        <f t="shared" si="41"/>
        <v>1</v>
      </c>
    </row>
    <row r="415" spans="1:12" hidden="1" x14ac:dyDescent="0.3">
      <c r="A415" s="1">
        <v>46216</v>
      </c>
      <c r="B415">
        <v>10</v>
      </c>
      <c r="D415" t="s">
        <v>67</v>
      </c>
      <c r="G415" s="1">
        <v>46216</v>
      </c>
      <c r="H415">
        <v>10</v>
      </c>
      <c r="I415" t="s">
        <v>21</v>
      </c>
      <c r="J415" s="7" t="s">
        <v>67</v>
      </c>
      <c r="K415" t="s">
        <v>218</v>
      </c>
      <c r="L415">
        <f t="shared" si="41"/>
        <v>1</v>
      </c>
    </row>
    <row r="416" spans="1:12" hidden="1" x14ac:dyDescent="0.3">
      <c r="A416" s="1">
        <v>46216</v>
      </c>
      <c r="B416">
        <v>10</v>
      </c>
      <c r="C416" t="s">
        <v>21</v>
      </c>
      <c r="D416" t="s">
        <v>28</v>
      </c>
      <c r="G416" s="1">
        <v>46216</v>
      </c>
      <c r="H416">
        <v>10</v>
      </c>
      <c r="I416" t="s">
        <v>21</v>
      </c>
      <c r="J416" s="28" t="s">
        <v>28</v>
      </c>
      <c r="L416">
        <f t="shared" si="41"/>
        <v>1</v>
      </c>
    </row>
    <row r="417" spans="1:12" hidden="1" x14ac:dyDescent="0.3">
      <c r="A417" s="1">
        <v>46216</v>
      </c>
      <c r="B417">
        <v>10</v>
      </c>
      <c r="C417" t="s">
        <v>21</v>
      </c>
      <c r="D417" t="s">
        <v>44</v>
      </c>
      <c r="G417" s="1">
        <v>46216</v>
      </c>
      <c r="H417">
        <v>10</v>
      </c>
      <c r="I417" t="s">
        <v>21</v>
      </c>
      <c r="J417" s="28" t="s">
        <v>44</v>
      </c>
      <c r="K417" t="s">
        <v>257</v>
      </c>
      <c r="L417">
        <f t="shared" si="41"/>
        <v>1</v>
      </c>
    </row>
    <row r="418" spans="1:12" hidden="1" x14ac:dyDescent="0.3">
      <c r="A418" s="1">
        <v>46216</v>
      </c>
      <c r="B418">
        <v>10</v>
      </c>
      <c r="C418" t="s">
        <v>21</v>
      </c>
      <c r="D418" t="s">
        <v>24</v>
      </c>
      <c r="G418" s="1">
        <v>46216</v>
      </c>
      <c r="H418">
        <v>10</v>
      </c>
      <c r="I418" t="s">
        <v>21</v>
      </c>
      <c r="J418" s="28" t="s">
        <v>24</v>
      </c>
      <c r="K418" t="s">
        <v>204</v>
      </c>
      <c r="L418">
        <f t="shared" si="41"/>
        <v>1</v>
      </c>
    </row>
    <row r="419" spans="1:12" hidden="1" x14ac:dyDescent="0.3">
      <c r="A419" s="1">
        <v>46216</v>
      </c>
      <c r="B419">
        <v>10</v>
      </c>
      <c r="C419" t="s">
        <v>13</v>
      </c>
      <c r="D419" t="s">
        <v>16</v>
      </c>
      <c r="E419" t="s">
        <v>191</v>
      </c>
      <c r="G419" s="1">
        <v>46216</v>
      </c>
      <c r="H419">
        <v>10</v>
      </c>
      <c r="I419" t="s">
        <v>13</v>
      </c>
      <c r="J419" s="27" t="str">
        <f t="shared" ref="J419" si="44">D419</f>
        <v>902 AOD</v>
      </c>
      <c r="K419" t="s">
        <v>191</v>
      </c>
      <c r="L419">
        <f t="shared" si="41"/>
        <v>1</v>
      </c>
    </row>
    <row r="420" spans="1:12" hidden="1" x14ac:dyDescent="0.3">
      <c r="A420" s="1">
        <v>46216</v>
      </c>
      <c r="B420">
        <v>10</v>
      </c>
      <c r="C420" t="s">
        <v>21</v>
      </c>
      <c r="D420" t="s">
        <v>95</v>
      </c>
      <c r="E420" t="s">
        <v>190</v>
      </c>
      <c r="G420" s="1">
        <v>46216</v>
      </c>
      <c r="H420">
        <v>10</v>
      </c>
      <c r="I420" t="s">
        <v>21</v>
      </c>
      <c r="J420" t="s">
        <v>95</v>
      </c>
      <c r="K420" s="27" t="str">
        <f t="shared" ref="K420" si="45">E420</f>
        <v>Шаубаев</v>
      </c>
      <c r="L420">
        <f t="shared" si="41"/>
        <v>1</v>
      </c>
    </row>
    <row r="421" spans="1:12" hidden="1" x14ac:dyDescent="0.3">
      <c r="A421" s="1">
        <v>46216</v>
      </c>
      <c r="B421">
        <v>10</v>
      </c>
      <c r="C421" t="s">
        <v>96</v>
      </c>
      <c r="D421" t="s">
        <v>97</v>
      </c>
      <c r="G421" s="1">
        <v>46216</v>
      </c>
      <c r="H421">
        <v>10</v>
      </c>
      <c r="I421" t="s">
        <v>96</v>
      </c>
      <c r="J421" t="s">
        <v>97</v>
      </c>
      <c r="K421" t="s">
        <v>190</v>
      </c>
      <c r="L421">
        <f t="shared" si="41"/>
        <v>1</v>
      </c>
    </row>
    <row r="422" spans="1:12" hidden="1" x14ac:dyDescent="0.3">
      <c r="G422" s="30">
        <v>46217</v>
      </c>
      <c r="H422" s="31">
        <v>10</v>
      </c>
      <c r="I422" s="31" t="s">
        <v>98</v>
      </c>
      <c r="J422" t="s">
        <v>99</v>
      </c>
      <c r="K422" t="s">
        <v>134</v>
      </c>
      <c r="L422">
        <f t="shared" si="41"/>
        <v>0</v>
      </c>
    </row>
    <row r="423" spans="1:12" hidden="1" x14ac:dyDescent="0.3">
      <c r="G423" s="30">
        <v>46217</v>
      </c>
      <c r="H423" s="31">
        <v>10</v>
      </c>
      <c r="I423" s="31" t="s">
        <v>98</v>
      </c>
      <c r="J423" t="s">
        <v>113</v>
      </c>
      <c r="K423" t="s">
        <v>206</v>
      </c>
      <c r="L423">
        <f t="shared" si="41"/>
        <v>0</v>
      </c>
    </row>
    <row r="424" spans="1:12" hidden="1" x14ac:dyDescent="0.3">
      <c r="G424" s="30">
        <v>46217</v>
      </c>
      <c r="H424" s="31">
        <v>10</v>
      </c>
      <c r="I424" s="31" t="s">
        <v>98</v>
      </c>
      <c r="J424" t="s">
        <v>114</v>
      </c>
      <c r="K424" t="s">
        <v>136</v>
      </c>
      <c r="L424">
        <f t="shared" si="41"/>
        <v>0</v>
      </c>
    </row>
    <row r="425" spans="1:12" hidden="1" x14ac:dyDescent="0.3">
      <c r="G425" s="30">
        <v>46217</v>
      </c>
      <c r="H425" s="31">
        <v>10</v>
      </c>
      <c r="I425" s="31" t="s">
        <v>98</v>
      </c>
      <c r="J425" t="s">
        <v>111</v>
      </c>
      <c r="K425" t="s">
        <v>251</v>
      </c>
      <c r="L425">
        <f t="shared" si="41"/>
        <v>0</v>
      </c>
    </row>
    <row r="426" spans="1:12" hidden="1" x14ac:dyDescent="0.3">
      <c r="G426" s="30">
        <v>46217</v>
      </c>
      <c r="H426" s="31">
        <v>10</v>
      </c>
      <c r="I426" s="31" t="s">
        <v>9</v>
      </c>
      <c r="J426" t="s">
        <v>7</v>
      </c>
      <c r="K426" t="s">
        <v>137</v>
      </c>
      <c r="L426">
        <f t="shared" si="41"/>
        <v>0</v>
      </c>
    </row>
    <row r="427" spans="1:12" hidden="1" x14ac:dyDescent="0.3">
      <c r="G427" s="30">
        <v>46217</v>
      </c>
      <c r="H427" s="31">
        <v>10</v>
      </c>
      <c r="I427" s="31" t="s">
        <v>9</v>
      </c>
      <c r="J427" t="s">
        <v>5</v>
      </c>
      <c r="K427" t="s">
        <v>138</v>
      </c>
      <c r="L427">
        <f t="shared" si="41"/>
        <v>0</v>
      </c>
    </row>
    <row r="428" spans="1:12" hidden="1" x14ac:dyDescent="0.3">
      <c r="G428" s="30">
        <v>46217</v>
      </c>
      <c r="H428" s="31">
        <v>3</v>
      </c>
      <c r="I428" s="31" t="s">
        <v>9</v>
      </c>
      <c r="J428" t="s">
        <v>6</v>
      </c>
      <c r="K428" t="s">
        <v>139</v>
      </c>
      <c r="L428">
        <f t="shared" si="41"/>
        <v>0</v>
      </c>
    </row>
    <row r="429" spans="1:12" hidden="1" x14ac:dyDescent="0.3">
      <c r="G429" s="30">
        <v>46217</v>
      </c>
      <c r="H429" s="31">
        <v>10</v>
      </c>
      <c r="I429" t="s">
        <v>10</v>
      </c>
      <c r="J429" t="s">
        <v>115</v>
      </c>
      <c r="K429" t="s">
        <v>140</v>
      </c>
      <c r="L429">
        <f t="shared" si="41"/>
        <v>0</v>
      </c>
    </row>
    <row r="430" spans="1:12" hidden="1" x14ac:dyDescent="0.3">
      <c r="G430" s="30">
        <v>46217</v>
      </c>
      <c r="H430" s="31">
        <v>10</v>
      </c>
      <c r="I430" t="s">
        <v>10</v>
      </c>
      <c r="J430" t="s">
        <v>12</v>
      </c>
      <c r="K430" t="s">
        <v>141</v>
      </c>
      <c r="L430">
        <f t="shared" si="41"/>
        <v>0</v>
      </c>
    </row>
    <row r="431" spans="1:12" hidden="1" x14ac:dyDescent="0.3">
      <c r="G431" s="30">
        <v>46217</v>
      </c>
      <c r="H431" s="31">
        <v>10</v>
      </c>
      <c r="I431" s="31" t="s">
        <v>10</v>
      </c>
      <c r="J431" t="s">
        <v>8</v>
      </c>
      <c r="K431" t="s">
        <v>142</v>
      </c>
      <c r="L431">
        <f t="shared" si="41"/>
        <v>0</v>
      </c>
    </row>
    <row r="432" spans="1:12" hidden="1" x14ac:dyDescent="0.3">
      <c r="G432" s="30">
        <v>46217</v>
      </c>
      <c r="H432" s="31">
        <v>5</v>
      </c>
      <c r="I432" t="s">
        <v>11</v>
      </c>
      <c r="J432" t="s">
        <v>103</v>
      </c>
      <c r="K432" t="s">
        <v>143</v>
      </c>
      <c r="L432">
        <f t="shared" si="41"/>
        <v>0</v>
      </c>
    </row>
    <row r="433" spans="7:12" hidden="1" x14ac:dyDescent="0.3">
      <c r="G433" s="30">
        <v>46217</v>
      </c>
      <c r="H433" s="31">
        <v>10</v>
      </c>
      <c r="I433" t="s">
        <v>11</v>
      </c>
      <c r="J433" t="s">
        <v>107</v>
      </c>
      <c r="L433">
        <f t="shared" si="41"/>
        <v>0</v>
      </c>
    </row>
    <row r="434" spans="7:12" hidden="1" x14ac:dyDescent="0.3">
      <c r="G434" s="30">
        <v>46217</v>
      </c>
      <c r="H434" s="31">
        <v>10</v>
      </c>
      <c r="I434" s="31" t="s">
        <v>11</v>
      </c>
      <c r="J434" t="s">
        <v>120</v>
      </c>
      <c r="K434" t="s">
        <v>207</v>
      </c>
      <c r="L434">
        <f t="shared" si="41"/>
        <v>0</v>
      </c>
    </row>
    <row r="435" spans="7:12" hidden="1" x14ac:dyDescent="0.3">
      <c r="G435" s="30">
        <v>46217</v>
      </c>
      <c r="H435" s="31">
        <v>10</v>
      </c>
      <c r="I435" s="31" t="s">
        <v>11</v>
      </c>
      <c r="J435" t="s">
        <v>121</v>
      </c>
      <c r="K435" t="s">
        <v>214</v>
      </c>
      <c r="L435">
        <f t="shared" si="41"/>
        <v>0</v>
      </c>
    </row>
    <row r="436" spans="7:12" hidden="1" x14ac:dyDescent="0.3">
      <c r="G436" s="30">
        <v>46217</v>
      </c>
      <c r="H436" s="31">
        <v>10</v>
      </c>
      <c r="I436" s="31" t="s">
        <v>13</v>
      </c>
      <c r="J436" t="s">
        <v>14</v>
      </c>
      <c r="K436" t="s">
        <v>208</v>
      </c>
      <c r="L436">
        <f t="shared" si="41"/>
        <v>0</v>
      </c>
    </row>
    <row r="437" spans="7:12" hidden="1" x14ac:dyDescent="0.3">
      <c r="G437" s="30">
        <v>46217</v>
      </c>
      <c r="H437" s="31">
        <v>10</v>
      </c>
      <c r="I437" s="31" t="s">
        <v>13</v>
      </c>
      <c r="J437" t="s">
        <v>15</v>
      </c>
      <c r="K437" t="s">
        <v>208</v>
      </c>
      <c r="L437">
        <f t="shared" si="41"/>
        <v>0</v>
      </c>
    </row>
    <row r="438" spans="7:12" hidden="1" x14ac:dyDescent="0.3">
      <c r="G438" s="30">
        <v>46217</v>
      </c>
      <c r="H438" s="31">
        <v>10</v>
      </c>
      <c r="I438" s="31" t="s">
        <v>13</v>
      </c>
      <c r="J438" t="s">
        <v>20</v>
      </c>
      <c r="K438" t="s">
        <v>209</v>
      </c>
      <c r="L438">
        <f t="shared" si="41"/>
        <v>0</v>
      </c>
    </row>
    <row r="439" spans="7:12" hidden="1" x14ac:dyDescent="0.3">
      <c r="G439" s="30">
        <v>46217</v>
      </c>
      <c r="H439" s="31">
        <v>10</v>
      </c>
      <c r="I439" s="31" t="s">
        <v>13</v>
      </c>
      <c r="J439" t="s">
        <v>19</v>
      </c>
      <c r="K439" t="s">
        <v>210</v>
      </c>
      <c r="L439">
        <f t="shared" si="41"/>
        <v>0</v>
      </c>
    </row>
    <row r="440" spans="7:12" hidden="1" x14ac:dyDescent="0.3">
      <c r="G440" s="30">
        <v>46217</v>
      </c>
      <c r="H440" s="31">
        <v>10</v>
      </c>
      <c r="I440" s="31" t="s">
        <v>13</v>
      </c>
      <c r="J440" t="s">
        <v>112</v>
      </c>
      <c r="K440" t="s">
        <v>211</v>
      </c>
      <c r="L440">
        <f t="shared" si="41"/>
        <v>0</v>
      </c>
    </row>
    <row r="441" spans="7:12" hidden="1" x14ac:dyDescent="0.3">
      <c r="G441" s="30">
        <v>46217</v>
      </c>
      <c r="H441" s="31">
        <v>10</v>
      </c>
      <c r="I441" s="31" t="s">
        <v>13</v>
      </c>
      <c r="J441" t="s">
        <v>18</v>
      </c>
      <c r="K441" t="s">
        <v>212</v>
      </c>
      <c r="L441">
        <f t="shared" si="41"/>
        <v>0</v>
      </c>
    </row>
    <row r="442" spans="7:12" hidden="1" x14ac:dyDescent="0.3">
      <c r="G442" s="30">
        <v>46217</v>
      </c>
      <c r="H442" s="31">
        <v>10</v>
      </c>
      <c r="I442" s="31" t="s">
        <v>13</v>
      </c>
      <c r="J442" t="s">
        <v>17</v>
      </c>
      <c r="K442" t="s">
        <v>191</v>
      </c>
      <c r="L442">
        <f t="shared" si="41"/>
        <v>0</v>
      </c>
    </row>
    <row r="443" spans="7:12" hidden="1" x14ac:dyDescent="0.3">
      <c r="G443" s="30">
        <v>46217</v>
      </c>
      <c r="H443" s="31">
        <v>10</v>
      </c>
      <c r="I443" s="31" t="s">
        <v>13</v>
      </c>
      <c r="J443" t="s">
        <v>104</v>
      </c>
      <c r="K443" t="s">
        <v>191</v>
      </c>
      <c r="L443">
        <f t="shared" si="41"/>
        <v>0</v>
      </c>
    </row>
    <row r="444" spans="7:12" hidden="1" x14ac:dyDescent="0.3">
      <c r="G444" s="30">
        <v>46217</v>
      </c>
      <c r="H444" s="31">
        <v>10</v>
      </c>
      <c r="I444" s="31" t="s">
        <v>13</v>
      </c>
      <c r="J444" t="s">
        <v>102</v>
      </c>
      <c r="K444" t="s">
        <v>191</v>
      </c>
      <c r="L444">
        <f t="shared" si="41"/>
        <v>0</v>
      </c>
    </row>
    <row r="445" spans="7:12" hidden="1" x14ac:dyDescent="0.3">
      <c r="G445" s="30">
        <v>46217</v>
      </c>
      <c r="H445" s="31">
        <v>10</v>
      </c>
      <c r="I445" t="s">
        <v>13</v>
      </c>
      <c r="J445" t="s">
        <v>16</v>
      </c>
      <c r="K445" t="s">
        <v>191</v>
      </c>
      <c r="L445">
        <f t="shared" si="41"/>
        <v>0</v>
      </c>
    </row>
    <row r="446" spans="7:12" hidden="1" x14ac:dyDescent="0.3">
      <c r="G446" s="30">
        <v>46217</v>
      </c>
      <c r="H446" s="31">
        <v>10</v>
      </c>
      <c r="I446" s="31" t="s">
        <v>105</v>
      </c>
      <c r="J446" t="s">
        <v>219</v>
      </c>
      <c r="K446" t="s">
        <v>215</v>
      </c>
      <c r="L446">
        <f t="shared" si="41"/>
        <v>0</v>
      </c>
    </row>
    <row r="447" spans="7:12" hidden="1" x14ac:dyDescent="0.3">
      <c r="G447" s="30">
        <v>46217</v>
      </c>
      <c r="H447" s="31">
        <v>10</v>
      </c>
      <c r="I447" s="31" t="s">
        <v>21</v>
      </c>
      <c r="J447" t="s">
        <v>95</v>
      </c>
      <c r="K447" t="s">
        <v>190</v>
      </c>
      <c r="L447">
        <f t="shared" si="41"/>
        <v>0</v>
      </c>
    </row>
    <row r="448" spans="7:12" hidden="1" x14ac:dyDescent="0.3">
      <c r="G448" s="30">
        <v>46217</v>
      </c>
      <c r="H448" s="31">
        <v>10</v>
      </c>
      <c r="I448" s="31" t="s">
        <v>96</v>
      </c>
      <c r="J448" t="s">
        <v>97</v>
      </c>
      <c r="K448" t="s">
        <v>190</v>
      </c>
      <c r="L448">
        <f t="shared" si="41"/>
        <v>0</v>
      </c>
    </row>
    <row r="449" spans="1:13" hidden="1" x14ac:dyDescent="0.3">
      <c r="G449" s="32">
        <v>46217</v>
      </c>
      <c r="H449" s="33">
        <v>10</v>
      </c>
      <c r="I449" s="33" t="s">
        <v>11</v>
      </c>
      <c r="J449" t="s">
        <v>107</v>
      </c>
      <c r="L449">
        <f t="shared" si="41"/>
        <v>0</v>
      </c>
    </row>
    <row r="450" spans="1:13" hidden="1" x14ac:dyDescent="0.3">
      <c r="G450" s="32">
        <v>46217</v>
      </c>
      <c r="H450" s="33">
        <v>10</v>
      </c>
      <c r="I450" s="33" t="s">
        <v>11</v>
      </c>
      <c r="J450" s="23" t="s">
        <v>121</v>
      </c>
      <c r="K450" t="s">
        <v>214</v>
      </c>
      <c r="L450">
        <f t="shared" si="41"/>
        <v>0</v>
      </c>
      <c r="M450" t="s">
        <v>250</v>
      </c>
    </row>
    <row r="451" spans="1:13" hidden="1" x14ac:dyDescent="0.3">
      <c r="G451" s="32">
        <v>46217</v>
      </c>
      <c r="H451" s="33">
        <v>10</v>
      </c>
      <c r="I451" s="33" t="s">
        <v>13</v>
      </c>
      <c r="J451" t="s">
        <v>17</v>
      </c>
      <c r="K451" t="s">
        <v>191</v>
      </c>
      <c r="L451">
        <f t="shared" ref="L451:L494" si="46">IF(J451=D451,1,0)</f>
        <v>0</v>
      </c>
    </row>
    <row r="452" spans="1:13" hidden="1" x14ac:dyDescent="0.3">
      <c r="G452" s="32">
        <v>46217</v>
      </c>
      <c r="H452" s="33">
        <v>10</v>
      </c>
      <c r="I452" s="33" t="s">
        <v>98</v>
      </c>
      <c r="J452" t="s">
        <v>111</v>
      </c>
      <c r="K452" t="s">
        <v>251</v>
      </c>
      <c r="L452">
        <f t="shared" si="46"/>
        <v>0</v>
      </c>
    </row>
    <row r="453" spans="1:13" hidden="1" x14ac:dyDescent="0.3">
      <c r="G453" s="32">
        <v>46217</v>
      </c>
      <c r="H453" s="33">
        <v>10</v>
      </c>
      <c r="I453" s="33" t="s">
        <v>105</v>
      </c>
      <c r="J453" t="s">
        <v>220</v>
      </c>
      <c r="L453">
        <f t="shared" si="46"/>
        <v>0</v>
      </c>
    </row>
    <row r="454" spans="1:13" hidden="1" x14ac:dyDescent="0.3">
      <c r="A454" s="1">
        <v>46217</v>
      </c>
      <c r="B454">
        <v>10</v>
      </c>
      <c r="C454" t="s">
        <v>25</v>
      </c>
      <c r="D454" t="s">
        <v>57</v>
      </c>
      <c r="G454" s="30">
        <v>46217</v>
      </c>
      <c r="H454" s="31">
        <v>10</v>
      </c>
      <c r="I454" s="31" t="s">
        <v>25</v>
      </c>
      <c r="J454" t="s">
        <v>57</v>
      </c>
      <c r="K454" t="s">
        <v>217</v>
      </c>
      <c r="L454">
        <f t="shared" si="46"/>
        <v>1</v>
      </c>
    </row>
    <row r="455" spans="1:13" hidden="1" x14ac:dyDescent="0.3">
      <c r="A455" s="1">
        <v>46217</v>
      </c>
      <c r="B455">
        <v>10</v>
      </c>
      <c r="C455" t="s">
        <v>21</v>
      </c>
      <c r="D455" t="s">
        <v>22</v>
      </c>
      <c r="G455" s="30">
        <v>46217</v>
      </c>
      <c r="H455" s="31">
        <v>10</v>
      </c>
      <c r="I455" s="31" t="s">
        <v>21</v>
      </c>
      <c r="J455" t="s">
        <v>22</v>
      </c>
      <c r="K455" t="s">
        <v>221</v>
      </c>
      <c r="L455">
        <f t="shared" si="46"/>
        <v>1</v>
      </c>
    </row>
    <row r="456" spans="1:13" hidden="1" x14ac:dyDescent="0.3">
      <c r="A456" s="1">
        <v>46217</v>
      </c>
      <c r="B456">
        <v>10</v>
      </c>
      <c r="C456" t="s">
        <v>21</v>
      </c>
      <c r="D456" t="s">
        <v>44</v>
      </c>
      <c r="G456" s="30">
        <v>46217</v>
      </c>
      <c r="H456" s="31">
        <v>10</v>
      </c>
      <c r="I456" s="31" t="s">
        <v>21</v>
      </c>
      <c r="J456" t="s">
        <v>44</v>
      </c>
      <c r="K456" t="s">
        <v>257</v>
      </c>
      <c r="L456">
        <f t="shared" si="46"/>
        <v>1</v>
      </c>
    </row>
    <row r="457" spans="1:13" hidden="1" x14ac:dyDescent="0.3">
      <c r="A457" s="1">
        <v>46217</v>
      </c>
      <c r="B457">
        <v>10</v>
      </c>
      <c r="C457" t="s">
        <v>21</v>
      </c>
      <c r="D457" t="s">
        <v>28</v>
      </c>
      <c r="G457" s="30">
        <v>46217</v>
      </c>
      <c r="H457" s="31">
        <v>10</v>
      </c>
      <c r="I457" s="31" t="s">
        <v>21</v>
      </c>
      <c r="J457" t="s">
        <v>28</v>
      </c>
      <c r="L457">
        <f t="shared" si="46"/>
        <v>1</v>
      </c>
    </row>
    <row r="458" spans="1:13" hidden="1" x14ac:dyDescent="0.3">
      <c r="A458" s="1">
        <v>46217</v>
      </c>
      <c r="B458">
        <v>10</v>
      </c>
      <c r="C458" t="s">
        <v>21</v>
      </c>
      <c r="D458" t="s">
        <v>92</v>
      </c>
      <c r="G458" s="30">
        <v>46217</v>
      </c>
      <c r="H458" s="31">
        <v>10</v>
      </c>
      <c r="I458" s="31" t="s">
        <v>21</v>
      </c>
      <c r="J458" t="s">
        <v>92</v>
      </c>
      <c r="K458" t="s">
        <v>213</v>
      </c>
      <c r="L458">
        <f t="shared" si="46"/>
        <v>1</v>
      </c>
    </row>
    <row r="459" spans="1:13" hidden="1" x14ac:dyDescent="0.3">
      <c r="A459" s="1">
        <v>46217</v>
      </c>
      <c r="B459">
        <v>10</v>
      </c>
      <c r="D459" t="s">
        <v>91</v>
      </c>
      <c r="G459" s="30">
        <v>46217</v>
      </c>
      <c r="H459" s="31">
        <v>10</v>
      </c>
      <c r="I459" s="31" t="s">
        <v>90</v>
      </c>
      <c r="J459" s="27" t="str">
        <f>D459</f>
        <v>176 ADM</v>
      </c>
      <c r="K459" t="s">
        <v>199</v>
      </c>
      <c r="L459">
        <f t="shared" si="46"/>
        <v>1</v>
      </c>
    </row>
    <row r="460" spans="1:13" hidden="1" x14ac:dyDescent="0.3">
      <c r="A460" s="1">
        <v>46217</v>
      </c>
      <c r="B460">
        <v>10</v>
      </c>
      <c r="C460" t="s">
        <v>21</v>
      </c>
      <c r="D460" t="s">
        <v>27</v>
      </c>
      <c r="G460" s="30">
        <v>46217</v>
      </c>
      <c r="H460" s="31">
        <v>10</v>
      </c>
      <c r="I460" s="31" t="s">
        <v>21</v>
      </c>
      <c r="J460" t="s">
        <v>27</v>
      </c>
      <c r="K460" t="s">
        <v>216</v>
      </c>
      <c r="L460">
        <f t="shared" si="46"/>
        <v>1</v>
      </c>
    </row>
    <row r="461" spans="1:13" hidden="1" x14ac:dyDescent="0.3">
      <c r="A461" s="1">
        <v>46217</v>
      </c>
      <c r="B461">
        <v>10</v>
      </c>
      <c r="C461" t="s">
        <v>21</v>
      </c>
      <c r="D461" t="s">
        <v>24</v>
      </c>
      <c r="G461" s="30">
        <v>46217</v>
      </c>
      <c r="H461" s="31">
        <v>10</v>
      </c>
      <c r="I461" s="31" t="s">
        <v>21</v>
      </c>
      <c r="J461" t="s">
        <v>24</v>
      </c>
      <c r="K461" t="s">
        <v>204</v>
      </c>
      <c r="L461">
        <f t="shared" si="46"/>
        <v>1</v>
      </c>
    </row>
    <row r="462" spans="1:13" hidden="1" x14ac:dyDescent="0.3">
      <c r="A462" s="1">
        <v>46217</v>
      </c>
      <c r="B462">
        <v>10</v>
      </c>
      <c r="D462" t="s">
        <v>67</v>
      </c>
      <c r="G462" s="30">
        <v>46217</v>
      </c>
      <c r="H462" s="31">
        <v>10</v>
      </c>
      <c r="I462" s="31" t="s">
        <v>21</v>
      </c>
      <c r="J462" t="s">
        <v>67</v>
      </c>
      <c r="K462" t="s">
        <v>218</v>
      </c>
      <c r="L462">
        <f t="shared" si="46"/>
        <v>1</v>
      </c>
    </row>
    <row r="463" spans="1:13" hidden="1" x14ac:dyDescent="0.3">
      <c r="A463" s="1">
        <v>46217</v>
      </c>
      <c r="B463">
        <v>10</v>
      </c>
      <c r="D463" t="s">
        <v>59</v>
      </c>
      <c r="G463" s="30">
        <v>46217</v>
      </c>
      <c r="H463" s="31">
        <v>10</v>
      </c>
      <c r="I463" s="31" t="s">
        <v>21</v>
      </c>
      <c r="J463" t="s">
        <v>59</v>
      </c>
      <c r="L463">
        <f t="shared" si="46"/>
        <v>1</v>
      </c>
    </row>
    <row r="464" spans="1:13" hidden="1" x14ac:dyDescent="0.3">
      <c r="A464" s="1">
        <v>46217</v>
      </c>
      <c r="B464">
        <v>10</v>
      </c>
      <c r="D464" t="s">
        <v>124</v>
      </c>
      <c r="G464" s="30">
        <v>46217</v>
      </c>
      <c r="H464" s="31">
        <v>10</v>
      </c>
      <c r="I464" s="31" t="s">
        <v>21</v>
      </c>
      <c r="J464" t="s">
        <v>124</v>
      </c>
      <c r="L464">
        <f t="shared" si="46"/>
        <v>1</v>
      </c>
    </row>
    <row r="465" spans="1:12" hidden="1" x14ac:dyDescent="0.3">
      <c r="A465" s="1">
        <v>46218</v>
      </c>
      <c r="B465">
        <v>10</v>
      </c>
      <c r="C465" t="s">
        <v>98</v>
      </c>
      <c r="D465" t="s">
        <v>99</v>
      </c>
      <c r="E465" t="s">
        <v>134</v>
      </c>
      <c r="G465" s="30">
        <v>46218</v>
      </c>
      <c r="H465" s="31">
        <v>10</v>
      </c>
      <c r="I465" s="31" t="s">
        <v>98</v>
      </c>
      <c r="J465" s="29" t="s">
        <v>99</v>
      </c>
      <c r="K465" t="s">
        <v>134</v>
      </c>
      <c r="L465">
        <f t="shared" si="46"/>
        <v>1</v>
      </c>
    </row>
    <row r="466" spans="1:12" hidden="1" x14ac:dyDescent="0.3">
      <c r="A466" s="1">
        <v>46218</v>
      </c>
      <c r="B466">
        <v>10</v>
      </c>
      <c r="C466" t="s">
        <v>98</v>
      </c>
      <c r="D466" t="s">
        <v>113</v>
      </c>
      <c r="E466" t="s">
        <v>135</v>
      </c>
      <c r="G466" s="30">
        <v>46218</v>
      </c>
      <c r="H466" s="31">
        <v>10</v>
      </c>
      <c r="I466" s="31" t="s">
        <v>98</v>
      </c>
      <c r="J466" s="29" t="s">
        <v>113</v>
      </c>
      <c r="K466" s="27" t="str">
        <f t="shared" ref="K466:K467" si="47">E466</f>
        <v>БАймурзин</v>
      </c>
      <c r="L466">
        <f t="shared" si="46"/>
        <v>1</v>
      </c>
    </row>
    <row r="467" spans="1:12" hidden="1" x14ac:dyDescent="0.3">
      <c r="A467" s="1">
        <v>46218</v>
      </c>
      <c r="B467">
        <v>10</v>
      </c>
      <c r="C467" t="s">
        <v>98</v>
      </c>
      <c r="D467" t="s">
        <v>114</v>
      </c>
      <c r="E467" t="s">
        <v>136</v>
      </c>
      <c r="G467" s="30">
        <v>46218</v>
      </c>
      <c r="H467" s="31">
        <v>10</v>
      </c>
      <c r="I467" s="31" t="s">
        <v>98</v>
      </c>
      <c r="J467" s="27" t="str">
        <f>D467</f>
        <v>595 AKD</v>
      </c>
      <c r="K467" s="27" t="str">
        <f t="shared" si="47"/>
        <v>Балгазин</v>
      </c>
      <c r="L467">
        <f t="shared" si="46"/>
        <v>1</v>
      </c>
    </row>
    <row r="468" spans="1:12" hidden="1" x14ac:dyDescent="0.3">
      <c r="A468" s="1">
        <v>46218</v>
      </c>
      <c r="B468">
        <v>10</v>
      </c>
      <c r="C468" t="s">
        <v>98</v>
      </c>
      <c r="D468" t="s">
        <v>111</v>
      </c>
      <c r="G468" s="30">
        <v>46218</v>
      </c>
      <c r="H468" s="31">
        <v>10</v>
      </c>
      <c r="I468" s="31" t="s">
        <v>98</v>
      </c>
      <c r="J468" s="27" t="str">
        <f>D468</f>
        <v>315 AOD</v>
      </c>
      <c r="K468" t="s">
        <v>251</v>
      </c>
      <c r="L468">
        <f t="shared" si="46"/>
        <v>1</v>
      </c>
    </row>
    <row r="469" spans="1:12" hidden="1" x14ac:dyDescent="0.3">
      <c r="A469" s="1">
        <v>46218</v>
      </c>
      <c r="B469">
        <v>10</v>
      </c>
      <c r="C469" t="s">
        <v>9</v>
      </c>
      <c r="D469" t="s">
        <v>7</v>
      </c>
      <c r="E469" t="s">
        <v>137</v>
      </c>
      <c r="G469" s="30">
        <v>46218</v>
      </c>
      <c r="H469" s="31">
        <v>10</v>
      </c>
      <c r="I469" s="31" t="s">
        <v>9</v>
      </c>
      <c r="J469" s="29" t="s">
        <v>7</v>
      </c>
      <c r="K469" t="s">
        <v>137</v>
      </c>
      <c r="L469">
        <f t="shared" si="46"/>
        <v>1</v>
      </c>
    </row>
    <row r="470" spans="1:12" hidden="1" x14ac:dyDescent="0.3">
      <c r="A470" s="1">
        <v>46218</v>
      </c>
      <c r="B470">
        <v>10</v>
      </c>
      <c r="D470" t="s">
        <v>223</v>
      </c>
      <c r="G470" s="30">
        <v>46218</v>
      </c>
      <c r="H470" s="31">
        <v>10</v>
      </c>
      <c r="I470" s="31"/>
      <c r="J470" s="29" t="s">
        <v>223</v>
      </c>
      <c r="K470" t="s">
        <v>191</v>
      </c>
      <c r="L470">
        <f t="shared" si="46"/>
        <v>1</v>
      </c>
    </row>
    <row r="471" spans="1:12" hidden="1" x14ac:dyDescent="0.3">
      <c r="A471" s="1">
        <v>46218</v>
      </c>
      <c r="B471">
        <v>10</v>
      </c>
      <c r="C471" t="s">
        <v>10</v>
      </c>
      <c r="D471" t="s">
        <v>12</v>
      </c>
      <c r="E471" t="s">
        <v>141</v>
      </c>
      <c r="G471" s="30">
        <v>46218</v>
      </c>
      <c r="H471" s="31">
        <v>10</v>
      </c>
      <c r="I471" t="s">
        <v>10</v>
      </c>
      <c r="J471" s="29" t="s">
        <v>12</v>
      </c>
      <c r="K471" t="s">
        <v>141</v>
      </c>
      <c r="L471">
        <f t="shared" si="46"/>
        <v>1</v>
      </c>
    </row>
    <row r="472" spans="1:12" hidden="1" x14ac:dyDescent="0.3">
      <c r="A472" s="1">
        <v>46218</v>
      </c>
      <c r="B472">
        <v>10</v>
      </c>
      <c r="C472" t="s">
        <v>10</v>
      </c>
      <c r="D472" t="s">
        <v>115</v>
      </c>
      <c r="E472" t="s">
        <v>140</v>
      </c>
      <c r="G472" s="30">
        <v>46218</v>
      </c>
      <c r="H472" s="31">
        <v>10</v>
      </c>
      <c r="I472" t="s">
        <v>10</v>
      </c>
      <c r="J472" t="s">
        <v>115</v>
      </c>
      <c r="K472" s="27" t="str">
        <f>E472</f>
        <v>Койшыбаев</v>
      </c>
      <c r="L472">
        <f t="shared" si="46"/>
        <v>1</v>
      </c>
    </row>
    <row r="473" spans="1:12" hidden="1" x14ac:dyDescent="0.3">
      <c r="A473" s="1">
        <v>46218</v>
      </c>
      <c r="B473">
        <v>10</v>
      </c>
      <c r="C473" t="s">
        <v>10</v>
      </c>
      <c r="D473" t="s">
        <v>8</v>
      </c>
      <c r="G473" s="30">
        <v>46218</v>
      </c>
      <c r="H473" s="31">
        <v>10</v>
      </c>
      <c r="I473" t="s">
        <v>10</v>
      </c>
      <c r="J473" s="29" t="s">
        <v>8</v>
      </c>
      <c r="K473" t="s">
        <v>142</v>
      </c>
      <c r="L473">
        <f t="shared" si="46"/>
        <v>1</v>
      </c>
    </row>
    <row r="474" spans="1:12" hidden="1" x14ac:dyDescent="0.3">
      <c r="A474" s="1">
        <v>46218</v>
      </c>
      <c r="B474">
        <v>10</v>
      </c>
      <c r="D474" t="s">
        <v>219</v>
      </c>
      <c r="G474" s="30">
        <v>46218</v>
      </c>
      <c r="H474" s="31">
        <v>10</v>
      </c>
      <c r="I474" s="31" t="s">
        <v>105</v>
      </c>
      <c r="J474" s="29" t="s">
        <v>219</v>
      </c>
      <c r="K474" t="s">
        <v>215</v>
      </c>
      <c r="L474">
        <f t="shared" si="46"/>
        <v>1</v>
      </c>
    </row>
    <row r="475" spans="1:12" hidden="1" x14ac:dyDescent="0.3">
      <c r="A475" s="1">
        <v>46218</v>
      </c>
      <c r="B475">
        <v>10</v>
      </c>
      <c r="C475" t="s">
        <v>11</v>
      </c>
      <c r="D475" t="s">
        <v>103</v>
      </c>
      <c r="E475" t="s">
        <v>143</v>
      </c>
      <c r="G475" s="30">
        <v>46218</v>
      </c>
      <c r="H475" s="31">
        <v>10</v>
      </c>
      <c r="I475" t="s">
        <v>11</v>
      </c>
      <c r="J475" s="29" t="s">
        <v>103</v>
      </c>
      <c r="K475" s="27" t="str">
        <f>E475</f>
        <v>Саликов</v>
      </c>
      <c r="L475">
        <f t="shared" si="46"/>
        <v>1</v>
      </c>
    </row>
    <row r="476" spans="1:12" hidden="1" x14ac:dyDescent="0.3">
      <c r="A476" s="1">
        <v>46218</v>
      </c>
      <c r="B476">
        <v>0</v>
      </c>
      <c r="C476" t="s">
        <v>11</v>
      </c>
      <c r="D476" t="s">
        <v>107</v>
      </c>
      <c r="G476" s="30">
        <v>46218</v>
      </c>
      <c r="H476" s="31" t="s">
        <v>222</v>
      </c>
      <c r="I476" t="s">
        <v>11</v>
      </c>
      <c r="J476" t="s">
        <v>107</v>
      </c>
      <c r="L476">
        <f t="shared" si="46"/>
        <v>1</v>
      </c>
    </row>
    <row r="477" spans="1:12" hidden="1" x14ac:dyDescent="0.3">
      <c r="A477" s="1">
        <v>46218</v>
      </c>
      <c r="B477">
        <v>10</v>
      </c>
      <c r="C477" t="s">
        <v>11</v>
      </c>
      <c r="D477" t="s">
        <v>120</v>
      </c>
      <c r="G477" s="30">
        <v>46218</v>
      </c>
      <c r="H477" s="31">
        <v>10</v>
      </c>
      <c r="I477" s="31" t="s">
        <v>11</v>
      </c>
      <c r="J477" s="29" t="s">
        <v>120</v>
      </c>
      <c r="K477" t="s">
        <v>207</v>
      </c>
      <c r="L477">
        <f t="shared" si="46"/>
        <v>1</v>
      </c>
    </row>
    <row r="478" spans="1:12" hidden="1" x14ac:dyDescent="0.3">
      <c r="A478" s="1">
        <v>46218</v>
      </c>
      <c r="B478">
        <v>10</v>
      </c>
      <c r="C478" t="s">
        <v>11</v>
      </c>
      <c r="D478" t="s">
        <v>121</v>
      </c>
      <c r="G478" s="30">
        <v>46218</v>
      </c>
      <c r="H478" s="31">
        <v>10</v>
      </c>
      <c r="I478" s="31" t="s">
        <v>11</v>
      </c>
      <c r="J478" s="29" t="s">
        <v>121</v>
      </c>
      <c r="K478" t="s">
        <v>214</v>
      </c>
      <c r="L478">
        <f t="shared" si="46"/>
        <v>1</v>
      </c>
    </row>
    <row r="479" spans="1:12" hidden="1" x14ac:dyDescent="0.3">
      <c r="A479" s="1">
        <v>46218</v>
      </c>
      <c r="B479">
        <v>10</v>
      </c>
      <c r="C479" t="s">
        <v>13</v>
      </c>
      <c r="D479" t="s">
        <v>14</v>
      </c>
      <c r="G479" s="30">
        <v>46218</v>
      </c>
      <c r="H479" s="31">
        <v>10</v>
      </c>
      <c r="I479" s="31" t="s">
        <v>13</v>
      </c>
      <c r="J479" s="29" t="s">
        <v>14</v>
      </c>
      <c r="K479" t="s">
        <v>208</v>
      </c>
      <c r="L479">
        <f t="shared" si="46"/>
        <v>1</v>
      </c>
    </row>
    <row r="480" spans="1:12" hidden="1" x14ac:dyDescent="0.3">
      <c r="A480" s="1">
        <v>46218</v>
      </c>
      <c r="B480">
        <v>10</v>
      </c>
      <c r="C480" t="s">
        <v>13</v>
      </c>
      <c r="D480" t="s">
        <v>15</v>
      </c>
      <c r="G480" s="30">
        <v>46218</v>
      </c>
      <c r="H480" s="31">
        <v>10</v>
      </c>
      <c r="I480" s="31" t="s">
        <v>13</v>
      </c>
      <c r="J480" s="29" t="s">
        <v>15</v>
      </c>
      <c r="K480" t="s">
        <v>208</v>
      </c>
      <c r="L480">
        <f t="shared" si="46"/>
        <v>1</v>
      </c>
    </row>
    <row r="481" spans="1:12" hidden="1" x14ac:dyDescent="0.3">
      <c r="A481" s="1">
        <v>46218</v>
      </c>
      <c r="B481">
        <v>10</v>
      </c>
      <c r="C481" t="s">
        <v>13</v>
      </c>
      <c r="D481" t="s">
        <v>19</v>
      </c>
      <c r="G481" s="30">
        <v>46218</v>
      </c>
      <c r="H481" s="31">
        <v>10</v>
      </c>
      <c r="I481" s="31" t="s">
        <v>13</v>
      </c>
      <c r="J481" s="29" t="s">
        <v>19</v>
      </c>
      <c r="K481" t="s">
        <v>210</v>
      </c>
      <c r="L481">
        <f t="shared" si="46"/>
        <v>1</v>
      </c>
    </row>
    <row r="482" spans="1:12" hidden="1" x14ac:dyDescent="0.3">
      <c r="A482" s="1">
        <v>46218</v>
      </c>
      <c r="B482">
        <v>10</v>
      </c>
      <c r="C482" t="s">
        <v>13</v>
      </c>
      <c r="D482" t="s">
        <v>112</v>
      </c>
      <c r="G482" s="30">
        <v>46218</v>
      </c>
      <c r="H482" s="31">
        <v>10</v>
      </c>
      <c r="I482" s="31" t="s">
        <v>13</v>
      </c>
      <c r="J482" s="29" t="s">
        <v>112</v>
      </c>
      <c r="K482" t="s">
        <v>211</v>
      </c>
      <c r="L482">
        <f t="shared" si="46"/>
        <v>1</v>
      </c>
    </row>
    <row r="483" spans="1:12" hidden="1" x14ac:dyDescent="0.3">
      <c r="A483" s="1">
        <v>46218</v>
      </c>
      <c r="B483">
        <v>10</v>
      </c>
      <c r="C483" t="s">
        <v>13</v>
      </c>
      <c r="D483" t="s">
        <v>17</v>
      </c>
      <c r="G483" s="30">
        <v>46218</v>
      </c>
      <c r="H483" s="31">
        <v>10</v>
      </c>
      <c r="I483" s="31" t="s">
        <v>13</v>
      </c>
      <c r="J483" s="29" t="s">
        <v>17</v>
      </c>
      <c r="K483" t="s">
        <v>191</v>
      </c>
      <c r="L483">
        <f t="shared" si="46"/>
        <v>1</v>
      </c>
    </row>
    <row r="484" spans="1:12" hidden="1" x14ac:dyDescent="0.3">
      <c r="A484" s="1">
        <v>46218</v>
      </c>
      <c r="B484">
        <v>10</v>
      </c>
      <c r="C484" t="s">
        <v>21</v>
      </c>
      <c r="D484" t="s">
        <v>28</v>
      </c>
      <c r="G484" s="30">
        <v>46218</v>
      </c>
      <c r="H484" s="31">
        <v>10</v>
      </c>
      <c r="I484" s="31" t="s">
        <v>21</v>
      </c>
      <c r="J484" s="29" t="s">
        <v>28</v>
      </c>
      <c r="L484">
        <f t="shared" si="46"/>
        <v>1</v>
      </c>
    </row>
    <row r="485" spans="1:12" hidden="1" x14ac:dyDescent="0.3">
      <c r="A485" s="1">
        <v>46218</v>
      </c>
      <c r="B485">
        <v>10</v>
      </c>
      <c r="C485" t="s">
        <v>21</v>
      </c>
      <c r="D485" t="s">
        <v>44</v>
      </c>
      <c r="G485" s="30">
        <v>46218</v>
      </c>
      <c r="H485" s="31">
        <v>10</v>
      </c>
      <c r="I485" s="31" t="s">
        <v>21</v>
      </c>
      <c r="J485" s="29" t="s">
        <v>44</v>
      </c>
      <c r="K485" t="s">
        <v>257</v>
      </c>
      <c r="L485">
        <f t="shared" si="46"/>
        <v>1</v>
      </c>
    </row>
    <row r="486" spans="1:12" hidden="1" x14ac:dyDescent="0.3">
      <c r="A486" s="1">
        <v>46218</v>
      </c>
      <c r="B486">
        <v>10</v>
      </c>
      <c r="C486" t="s">
        <v>21</v>
      </c>
      <c r="D486" t="s">
        <v>27</v>
      </c>
      <c r="G486" s="30">
        <v>46218</v>
      </c>
      <c r="H486" s="31">
        <v>10</v>
      </c>
      <c r="I486" s="31" t="s">
        <v>21</v>
      </c>
      <c r="J486" s="29" t="s">
        <v>27</v>
      </c>
      <c r="K486" t="s">
        <v>216</v>
      </c>
      <c r="L486">
        <f t="shared" si="46"/>
        <v>1</v>
      </c>
    </row>
    <row r="487" spans="1:12" hidden="1" x14ac:dyDescent="0.3">
      <c r="A487" s="1">
        <v>46218</v>
      </c>
      <c r="B487">
        <v>10</v>
      </c>
      <c r="C487" t="s">
        <v>21</v>
      </c>
      <c r="D487" t="s">
        <v>95</v>
      </c>
      <c r="E487" t="s">
        <v>190</v>
      </c>
      <c r="G487" s="30">
        <v>46218</v>
      </c>
      <c r="H487" s="31">
        <v>10</v>
      </c>
      <c r="I487" s="31" t="s">
        <v>21</v>
      </c>
      <c r="J487" s="29" t="s">
        <v>95</v>
      </c>
      <c r="K487" s="27" t="str">
        <f>E487</f>
        <v>Шаубаев</v>
      </c>
      <c r="L487">
        <f t="shared" si="46"/>
        <v>1</v>
      </c>
    </row>
    <row r="488" spans="1:12" hidden="1" x14ac:dyDescent="0.3">
      <c r="A488" s="1">
        <v>46218</v>
      </c>
      <c r="B488">
        <v>10</v>
      </c>
      <c r="C488" t="s">
        <v>96</v>
      </c>
      <c r="D488" t="s">
        <v>189</v>
      </c>
      <c r="G488" s="30">
        <v>46218</v>
      </c>
      <c r="H488" s="31">
        <v>10</v>
      </c>
      <c r="I488" s="31" t="s">
        <v>96</v>
      </c>
      <c r="J488" s="29" t="s">
        <v>97</v>
      </c>
      <c r="K488" t="s">
        <v>190</v>
      </c>
      <c r="L488">
        <f t="shared" si="46"/>
        <v>1</v>
      </c>
    </row>
    <row r="489" spans="1:12" hidden="1" x14ac:dyDescent="0.3">
      <c r="G489" s="32">
        <v>46218</v>
      </c>
      <c r="H489" s="33">
        <v>10</v>
      </c>
      <c r="I489" s="33" t="s">
        <v>11</v>
      </c>
      <c r="J489" t="s">
        <v>103</v>
      </c>
      <c r="K489" t="s">
        <v>143</v>
      </c>
      <c r="L489">
        <f t="shared" si="46"/>
        <v>0</v>
      </c>
    </row>
    <row r="490" spans="1:12" hidden="1" x14ac:dyDescent="0.3">
      <c r="G490" s="32">
        <v>46218</v>
      </c>
      <c r="H490" s="33">
        <v>10</v>
      </c>
      <c r="I490" s="33" t="s">
        <v>13</v>
      </c>
      <c r="J490" t="s">
        <v>17</v>
      </c>
      <c r="K490" t="s">
        <v>191</v>
      </c>
      <c r="L490">
        <f t="shared" si="46"/>
        <v>0</v>
      </c>
    </row>
    <row r="491" spans="1:12" hidden="1" x14ac:dyDescent="0.3">
      <c r="G491" s="32">
        <v>46218</v>
      </c>
      <c r="H491" s="33">
        <v>10</v>
      </c>
      <c r="I491" s="33" t="s">
        <v>98</v>
      </c>
      <c r="J491" t="s">
        <v>111</v>
      </c>
      <c r="K491" t="s">
        <v>251</v>
      </c>
      <c r="L491">
        <f t="shared" si="46"/>
        <v>0</v>
      </c>
    </row>
    <row r="492" spans="1:12" hidden="1" x14ac:dyDescent="0.3">
      <c r="G492" s="32">
        <v>46218</v>
      </c>
      <c r="H492" s="33">
        <v>10</v>
      </c>
      <c r="I492" s="33" t="s">
        <v>105</v>
      </c>
      <c r="J492" t="s">
        <v>220</v>
      </c>
      <c r="L492">
        <f t="shared" si="46"/>
        <v>0</v>
      </c>
    </row>
    <row r="493" spans="1:12" hidden="1" x14ac:dyDescent="0.3">
      <c r="G493" s="32">
        <v>46218</v>
      </c>
      <c r="H493" s="33">
        <v>10</v>
      </c>
      <c r="I493" s="33" t="s">
        <v>98</v>
      </c>
      <c r="J493" t="s">
        <v>114</v>
      </c>
      <c r="K493" t="s">
        <v>136</v>
      </c>
      <c r="L493">
        <f t="shared" si="46"/>
        <v>0</v>
      </c>
    </row>
    <row r="494" spans="1:12" hidden="1" x14ac:dyDescent="0.3">
      <c r="G494" s="32">
        <v>46218</v>
      </c>
      <c r="H494" s="33">
        <v>10</v>
      </c>
      <c r="I494" s="33" t="s">
        <v>11</v>
      </c>
      <c r="L494">
        <f t="shared" si="46"/>
        <v>1</v>
      </c>
    </row>
  </sheetData>
  <autoFilter ref="G1:K494" xr:uid="{00000000-0001-0000-0000-000000000000}">
    <filterColumn colId="3">
      <filters>
        <filter val="961 AKH"/>
      </filters>
    </filterColumn>
  </autoFilter>
  <conditionalFormatting sqref="A2:A232 A237:A421 A454:A48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94 M2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5B8F-B7AA-465A-8C17-FE97AF3CD204}">
  <sheetPr>
    <tabColor rgb="FFFFFF00"/>
  </sheetPr>
  <dimension ref="A3:B39"/>
  <sheetViews>
    <sheetView workbookViewId="0">
      <selection activeCell="M13" sqref="M13"/>
    </sheetView>
  </sheetViews>
  <sheetFormatPr defaultRowHeight="14.4" x14ac:dyDescent="0.3"/>
  <cols>
    <col min="1" max="1" width="17" bestFit="1" customWidth="1"/>
    <col min="2" max="2" width="22.5546875" bestFit="1" customWidth="1"/>
  </cols>
  <sheetData>
    <row r="3" spans="1:2" x14ac:dyDescent="0.3">
      <c r="A3" s="22" t="s">
        <v>186</v>
      </c>
      <c r="B3" t="s">
        <v>192</v>
      </c>
    </row>
    <row r="4" spans="1:2" x14ac:dyDescent="0.3">
      <c r="A4" s="5" t="s">
        <v>20</v>
      </c>
      <c r="B4">
        <v>1641</v>
      </c>
    </row>
    <row r="5" spans="1:2" x14ac:dyDescent="0.3">
      <c r="A5" s="5" t="s">
        <v>14</v>
      </c>
      <c r="B5">
        <v>1075</v>
      </c>
    </row>
    <row r="6" spans="1:2" x14ac:dyDescent="0.3">
      <c r="A6" s="5" t="s">
        <v>17</v>
      </c>
      <c r="B6">
        <v>1555</v>
      </c>
    </row>
    <row r="7" spans="1:2" x14ac:dyDescent="0.3">
      <c r="A7" s="5" t="s">
        <v>103</v>
      </c>
      <c r="B7">
        <v>5193</v>
      </c>
    </row>
    <row r="8" spans="1:2" x14ac:dyDescent="0.3">
      <c r="A8" s="5" t="s">
        <v>133</v>
      </c>
      <c r="B8">
        <v>100</v>
      </c>
    </row>
    <row r="9" spans="1:2" x14ac:dyDescent="0.3">
      <c r="A9" s="5" t="s">
        <v>115</v>
      </c>
      <c r="B9">
        <v>730</v>
      </c>
    </row>
    <row r="10" spans="1:2" x14ac:dyDescent="0.3">
      <c r="A10" s="5" t="s">
        <v>15</v>
      </c>
      <c r="B10">
        <v>1205</v>
      </c>
    </row>
    <row r="11" spans="1:2" x14ac:dyDescent="0.3">
      <c r="A11" s="5" t="s">
        <v>121</v>
      </c>
      <c r="B11">
        <v>1135</v>
      </c>
    </row>
    <row r="12" spans="1:2" x14ac:dyDescent="0.3">
      <c r="A12" s="5" t="s">
        <v>131</v>
      </c>
      <c r="B12">
        <v>150</v>
      </c>
    </row>
    <row r="13" spans="1:2" x14ac:dyDescent="0.3">
      <c r="A13" s="5" t="s">
        <v>104</v>
      </c>
      <c r="B13">
        <v>1044</v>
      </c>
    </row>
    <row r="14" spans="1:2" x14ac:dyDescent="0.3">
      <c r="A14" s="5" t="s">
        <v>102</v>
      </c>
      <c r="B14">
        <v>1220</v>
      </c>
    </row>
    <row r="15" spans="1:2" x14ac:dyDescent="0.3">
      <c r="A15" s="5" t="s">
        <v>111</v>
      </c>
      <c r="B15">
        <v>929</v>
      </c>
    </row>
    <row r="16" spans="1:2" x14ac:dyDescent="0.3">
      <c r="A16" s="5" t="s">
        <v>177</v>
      </c>
      <c r="B16">
        <v>290</v>
      </c>
    </row>
    <row r="17" spans="1:2" x14ac:dyDescent="0.3">
      <c r="A17" s="5" t="s">
        <v>130</v>
      </c>
      <c r="B17">
        <v>126</v>
      </c>
    </row>
    <row r="18" spans="1:2" x14ac:dyDescent="0.3">
      <c r="A18" s="5" t="s">
        <v>19</v>
      </c>
      <c r="B18">
        <v>2126</v>
      </c>
    </row>
    <row r="19" spans="1:2" x14ac:dyDescent="0.3">
      <c r="A19" s="5" t="s">
        <v>5</v>
      </c>
      <c r="B19">
        <v>826</v>
      </c>
    </row>
    <row r="20" spans="1:2" x14ac:dyDescent="0.3">
      <c r="A20" s="5" t="s">
        <v>6</v>
      </c>
      <c r="B20">
        <v>780</v>
      </c>
    </row>
    <row r="21" spans="1:2" x14ac:dyDescent="0.3">
      <c r="A21" s="5" t="s">
        <v>70</v>
      </c>
      <c r="B21">
        <v>183</v>
      </c>
    </row>
    <row r="22" spans="1:2" x14ac:dyDescent="0.3">
      <c r="A22" s="5" t="s">
        <v>114</v>
      </c>
      <c r="B22">
        <v>1100</v>
      </c>
    </row>
    <row r="23" spans="1:2" x14ac:dyDescent="0.3">
      <c r="A23" s="5" t="s">
        <v>99</v>
      </c>
      <c r="B23">
        <v>1159</v>
      </c>
    </row>
    <row r="24" spans="1:2" x14ac:dyDescent="0.3">
      <c r="A24" s="5" t="s">
        <v>113</v>
      </c>
      <c r="B24">
        <v>1353</v>
      </c>
    </row>
    <row r="25" spans="1:2" x14ac:dyDescent="0.3">
      <c r="A25" s="5" t="s">
        <v>120</v>
      </c>
      <c r="B25">
        <v>1340</v>
      </c>
    </row>
    <row r="26" spans="1:2" x14ac:dyDescent="0.3">
      <c r="A26" s="5" t="s">
        <v>18</v>
      </c>
      <c r="B26">
        <v>720</v>
      </c>
    </row>
    <row r="27" spans="1:2" x14ac:dyDescent="0.3">
      <c r="A27" s="5" t="s">
        <v>129</v>
      </c>
      <c r="B27">
        <v>147</v>
      </c>
    </row>
    <row r="28" spans="1:2" x14ac:dyDescent="0.3">
      <c r="A28" s="5" t="s">
        <v>126</v>
      </c>
      <c r="B28">
        <v>579</v>
      </c>
    </row>
    <row r="29" spans="1:2" x14ac:dyDescent="0.3">
      <c r="A29" s="5" t="s">
        <v>7</v>
      </c>
      <c r="B29">
        <v>1679</v>
      </c>
    </row>
    <row r="30" spans="1:2" x14ac:dyDescent="0.3">
      <c r="A30" s="5" t="s">
        <v>128</v>
      </c>
      <c r="B30">
        <v>451</v>
      </c>
    </row>
    <row r="31" spans="1:2" x14ac:dyDescent="0.3">
      <c r="A31" s="5" t="s">
        <v>112</v>
      </c>
      <c r="B31">
        <v>1072</v>
      </c>
    </row>
    <row r="32" spans="1:2" x14ac:dyDescent="0.3">
      <c r="A32" s="5" t="s">
        <v>16</v>
      </c>
      <c r="B32">
        <v>584</v>
      </c>
    </row>
    <row r="33" spans="1:2" x14ac:dyDescent="0.3">
      <c r="A33" s="5" t="s">
        <v>23</v>
      </c>
      <c r="B33">
        <v>107</v>
      </c>
    </row>
    <row r="34" spans="1:2" x14ac:dyDescent="0.3">
      <c r="A34" s="5" t="s">
        <v>125</v>
      </c>
      <c r="B34">
        <v>521</v>
      </c>
    </row>
    <row r="35" spans="1:2" x14ac:dyDescent="0.3">
      <c r="A35" s="25" t="s">
        <v>178</v>
      </c>
      <c r="B35">
        <v>200</v>
      </c>
    </row>
    <row r="36" spans="1:2" x14ac:dyDescent="0.3">
      <c r="A36" s="5" t="s">
        <v>107</v>
      </c>
      <c r="B36">
        <v>3623</v>
      </c>
    </row>
    <row r="37" spans="1:2" x14ac:dyDescent="0.3">
      <c r="A37" s="5" t="s">
        <v>8</v>
      </c>
      <c r="B37">
        <v>587</v>
      </c>
    </row>
    <row r="38" spans="1:2" x14ac:dyDescent="0.3">
      <c r="A38" s="26" t="s">
        <v>195</v>
      </c>
      <c r="B38">
        <v>1590</v>
      </c>
    </row>
    <row r="39" spans="1:2" x14ac:dyDescent="0.3">
      <c r="A39" s="5" t="s">
        <v>188</v>
      </c>
      <c r="B39">
        <v>37120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1EC2-B01D-4FF6-9B86-985DD610E68B}">
  <sheetPr>
    <tabColor rgb="FF0070C0"/>
  </sheetPr>
  <dimension ref="A1:E193"/>
  <sheetViews>
    <sheetView workbookViewId="0">
      <selection activeCell="D1" sqref="D1:D1048576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31</v>
      </c>
    </row>
    <row r="2" spans="1:4" x14ac:dyDescent="0.3">
      <c r="A2" s="1">
        <v>46205</v>
      </c>
      <c r="B2" t="s">
        <v>9</v>
      </c>
      <c r="C2" t="s">
        <v>7</v>
      </c>
      <c r="D2">
        <v>200</v>
      </c>
    </row>
    <row r="3" spans="1:4" x14ac:dyDescent="0.3">
      <c r="A3" s="1">
        <v>46205</v>
      </c>
      <c r="B3" t="s">
        <v>11</v>
      </c>
      <c r="C3" t="s">
        <v>103</v>
      </c>
      <c r="D3">
        <v>415</v>
      </c>
    </row>
    <row r="4" spans="1:4" x14ac:dyDescent="0.3">
      <c r="A4" s="1">
        <v>46205</v>
      </c>
      <c r="B4" t="s">
        <v>13</v>
      </c>
      <c r="C4" t="s">
        <v>125</v>
      </c>
      <c r="D4">
        <v>220</v>
      </c>
    </row>
    <row r="5" spans="1:4" x14ac:dyDescent="0.3">
      <c r="A5" s="1">
        <v>46205</v>
      </c>
      <c r="B5" t="s">
        <v>10</v>
      </c>
      <c r="C5" t="s">
        <v>8</v>
      </c>
      <c r="D5">
        <v>120</v>
      </c>
    </row>
    <row r="6" spans="1:4" x14ac:dyDescent="0.3">
      <c r="A6" s="1">
        <v>46205</v>
      </c>
      <c r="B6" t="s">
        <v>13</v>
      </c>
      <c r="C6" t="s">
        <v>14</v>
      </c>
      <c r="D6">
        <v>142</v>
      </c>
    </row>
    <row r="7" spans="1:4" x14ac:dyDescent="0.3">
      <c r="A7" s="1">
        <v>46205</v>
      </c>
      <c r="B7" t="s">
        <v>13</v>
      </c>
      <c r="C7" t="s">
        <v>19</v>
      </c>
      <c r="D7">
        <v>187</v>
      </c>
    </row>
    <row r="8" spans="1:4" x14ac:dyDescent="0.3">
      <c r="A8" s="1">
        <v>46205</v>
      </c>
      <c r="B8" t="s">
        <v>13</v>
      </c>
      <c r="C8" t="s">
        <v>15</v>
      </c>
      <c r="D8">
        <v>224</v>
      </c>
    </row>
    <row r="9" spans="1:4" x14ac:dyDescent="0.3">
      <c r="A9" s="1">
        <v>46205</v>
      </c>
      <c r="B9" t="s">
        <v>13</v>
      </c>
      <c r="C9" t="s">
        <v>17</v>
      </c>
      <c r="D9">
        <v>160</v>
      </c>
    </row>
    <row r="10" spans="1:4" x14ac:dyDescent="0.3">
      <c r="A10" s="1">
        <v>46205</v>
      </c>
      <c r="B10" t="s">
        <v>9</v>
      </c>
      <c r="C10" t="s">
        <v>5</v>
      </c>
      <c r="D10">
        <v>280</v>
      </c>
    </row>
    <row r="11" spans="1:4" x14ac:dyDescent="0.3">
      <c r="A11" s="1">
        <v>46205</v>
      </c>
      <c r="B11" t="s">
        <v>13</v>
      </c>
      <c r="C11" t="s">
        <v>20</v>
      </c>
      <c r="D11">
        <v>215</v>
      </c>
    </row>
    <row r="12" spans="1:4" x14ac:dyDescent="0.3">
      <c r="A12" s="1">
        <v>46205</v>
      </c>
      <c r="B12" t="s">
        <v>13</v>
      </c>
      <c r="C12" t="s">
        <v>19</v>
      </c>
      <c r="D12">
        <v>150</v>
      </c>
    </row>
    <row r="13" spans="1:4" x14ac:dyDescent="0.3">
      <c r="A13" s="1">
        <v>46205</v>
      </c>
      <c r="B13" t="s">
        <v>13</v>
      </c>
      <c r="C13" t="s">
        <v>125</v>
      </c>
      <c r="D13">
        <v>110</v>
      </c>
    </row>
    <row r="14" spans="1:4" x14ac:dyDescent="0.3">
      <c r="A14" s="1">
        <v>46205</v>
      </c>
      <c r="B14" t="s">
        <v>13</v>
      </c>
      <c r="C14" t="s">
        <v>102</v>
      </c>
      <c r="D14">
        <v>140</v>
      </c>
    </row>
    <row r="15" spans="1:4" x14ac:dyDescent="0.3">
      <c r="A15" s="1">
        <v>46205</v>
      </c>
      <c r="B15" t="s">
        <v>11</v>
      </c>
      <c r="C15" t="s">
        <v>103</v>
      </c>
      <c r="D15">
        <v>300</v>
      </c>
    </row>
    <row r="16" spans="1:4" x14ac:dyDescent="0.3">
      <c r="A16" s="1">
        <v>46205</v>
      </c>
      <c r="B16" t="s">
        <v>10</v>
      </c>
      <c r="C16" t="s">
        <v>126</v>
      </c>
      <c r="D16">
        <v>95</v>
      </c>
    </row>
    <row r="17" spans="1:4" x14ac:dyDescent="0.3">
      <c r="A17" s="1">
        <v>46205</v>
      </c>
      <c r="B17" t="s">
        <v>13</v>
      </c>
      <c r="C17" t="s">
        <v>104</v>
      </c>
      <c r="D17">
        <v>85</v>
      </c>
    </row>
    <row r="18" spans="1:4" x14ac:dyDescent="0.3">
      <c r="A18" s="1">
        <v>46207</v>
      </c>
      <c r="B18" t="s">
        <v>10</v>
      </c>
      <c r="C18" t="s">
        <v>115</v>
      </c>
      <c r="D18">
        <v>138</v>
      </c>
    </row>
    <row r="19" spans="1:4" x14ac:dyDescent="0.3">
      <c r="A19" s="1">
        <v>46207</v>
      </c>
      <c r="B19" t="s">
        <v>9</v>
      </c>
      <c r="C19" t="s">
        <v>7</v>
      </c>
      <c r="D19">
        <v>281</v>
      </c>
    </row>
    <row r="20" spans="1:4" x14ac:dyDescent="0.3">
      <c r="A20" s="1">
        <v>46207</v>
      </c>
      <c r="B20" t="s">
        <v>13</v>
      </c>
      <c r="C20" t="s">
        <v>17</v>
      </c>
      <c r="D20">
        <v>214</v>
      </c>
    </row>
    <row r="21" spans="1:4" x14ac:dyDescent="0.3">
      <c r="A21" s="1">
        <v>46207</v>
      </c>
      <c r="B21" t="s">
        <v>10</v>
      </c>
      <c r="C21" t="s">
        <v>8</v>
      </c>
      <c r="D21">
        <v>125</v>
      </c>
    </row>
    <row r="22" spans="1:4" x14ac:dyDescent="0.3">
      <c r="A22" s="1">
        <v>46207</v>
      </c>
      <c r="B22" t="s">
        <v>13</v>
      </c>
      <c r="C22" t="s">
        <v>15</v>
      </c>
      <c r="D22">
        <v>201</v>
      </c>
    </row>
    <row r="23" spans="1:4" x14ac:dyDescent="0.3">
      <c r="A23" s="1">
        <v>46207</v>
      </c>
      <c r="B23" t="s">
        <v>13</v>
      </c>
      <c r="C23" t="s">
        <v>19</v>
      </c>
      <c r="D23">
        <v>162</v>
      </c>
    </row>
    <row r="24" spans="1:4" x14ac:dyDescent="0.3">
      <c r="A24" s="1">
        <v>46207</v>
      </c>
      <c r="B24" t="s">
        <v>13</v>
      </c>
      <c r="C24" t="s">
        <v>14</v>
      </c>
      <c r="D24">
        <v>186</v>
      </c>
    </row>
    <row r="25" spans="1:4" x14ac:dyDescent="0.3">
      <c r="A25" s="1">
        <v>46207</v>
      </c>
      <c r="B25" t="s">
        <v>13</v>
      </c>
      <c r="C25" t="s">
        <v>104</v>
      </c>
      <c r="D25">
        <v>215</v>
      </c>
    </row>
    <row r="26" spans="1:4" x14ac:dyDescent="0.3">
      <c r="A26" s="1">
        <v>46207</v>
      </c>
      <c r="B26" t="s">
        <v>11</v>
      </c>
      <c r="C26" t="s">
        <v>103</v>
      </c>
      <c r="D26">
        <v>400</v>
      </c>
    </row>
    <row r="27" spans="1:4" x14ac:dyDescent="0.3">
      <c r="A27" s="1">
        <v>46207</v>
      </c>
      <c r="B27" t="s">
        <v>98</v>
      </c>
      <c r="C27" t="s">
        <v>99</v>
      </c>
      <c r="D27">
        <v>218</v>
      </c>
    </row>
    <row r="28" spans="1:4" x14ac:dyDescent="0.3">
      <c r="A28" s="1">
        <v>46207</v>
      </c>
      <c r="B28" t="s">
        <v>13</v>
      </c>
      <c r="C28" t="s">
        <v>102</v>
      </c>
      <c r="D28">
        <v>146</v>
      </c>
    </row>
    <row r="29" spans="1:4" x14ac:dyDescent="0.3">
      <c r="A29" s="1">
        <v>46207</v>
      </c>
      <c r="B29" t="s">
        <v>13</v>
      </c>
      <c r="C29" t="s">
        <v>16</v>
      </c>
      <c r="D29">
        <v>110</v>
      </c>
    </row>
    <row r="30" spans="1:4" x14ac:dyDescent="0.3">
      <c r="A30" s="1">
        <v>46207</v>
      </c>
      <c r="B30" t="s">
        <v>13</v>
      </c>
      <c r="C30" t="s">
        <v>20</v>
      </c>
      <c r="D30">
        <v>173</v>
      </c>
    </row>
    <row r="31" spans="1:4" x14ac:dyDescent="0.3">
      <c r="A31" s="1">
        <v>46207</v>
      </c>
      <c r="B31" t="s">
        <v>9</v>
      </c>
      <c r="C31" t="s">
        <v>6</v>
      </c>
      <c r="D31">
        <v>250</v>
      </c>
    </row>
    <row r="32" spans="1:4" x14ac:dyDescent="0.3">
      <c r="A32" s="1">
        <v>46207</v>
      </c>
      <c r="B32" t="s">
        <v>13</v>
      </c>
      <c r="C32" t="s">
        <v>125</v>
      </c>
      <c r="D32">
        <v>191</v>
      </c>
    </row>
    <row r="33" spans="1:4" x14ac:dyDescent="0.3">
      <c r="A33" s="1">
        <v>46207</v>
      </c>
      <c r="B33" t="s">
        <v>13</v>
      </c>
      <c r="C33" t="s">
        <v>19</v>
      </c>
      <c r="D33">
        <v>161</v>
      </c>
    </row>
    <row r="34" spans="1:4" x14ac:dyDescent="0.3">
      <c r="A34" s="1">
        <v>46207</v>
      </c>
      <c r="B34" t="s">
        <v>10</v>
      </c>
      <c r="C34" t="s">
        <v>126</v>
      </c>
      <c r="D34">
        <v>119</v>
      </c>
    </row>
    <row r="35" spans="1:4" x14ac:dyDescent="0.3">
      <c r="A35" s="1">
        <v>46207</v>
      </c>
      <c r="B35" t="s">
        <v>13</v>
      </c>
      <c r="C35" t="s">
        <v>102</v>
      </c>
      <c r="D35">
        <v>220</v>
      </c>
    </row>
    <row r="36" spans="1:4" x14ac:dyDescent="0.3">
      <c r="A36" s="1">
        <v>46207</v>
      </c>
      <c r="B36" t="s">
        <v>13</v>
      </c>
      <c r="C36" t="s">
        <v>17</v>
      </c>
      <c r="D36">
        <v>120</v>
      </c>
    </row>
    <row r="37" spans="1:4" x14ac:dyDescent="0.3">
      <c r="A37" s="1">
        <v>46207</v>
      </c>
      <c r="B37" t="s">
        <v>13</v>
      </c>
      <c r="C37" t="s">
        <v>104</v>
      </c>
      <c r="D37">
        <v>74</v>
      </c>
    </row>
    <row r="38" spans="1:4" x14ac:dyDescent="0.3">
      <c r="A38" s="1">
        <v>46208</v>
      </c>
      <c r="B38" t="s">
        <v>11</v>
      </c>
      <c r="C38" t="s">
        <v>103</v>
      </c>
      <c r="D38">
        <v>370</v>
      </c>
    </row>
    <row r="39" spans="1:4" x14ac:dyDescent="0.3">
      <c r="A39" s="1">
        <v>46208</v>
      </c>
      <c r="B39" t="s">
        <v>127</v>
      </c>
      <c r="C39" t="s">
        <v>128</v>
      </c>
      <c r="D39">
        <v>251</v>
      </c>
    </row>
    <row r="40" spans="1:4" x14ac:dyDescent="0.3">
      <c r="A40" s="1">
        <v>46208</v>
      </c>
      <c r="B40" t="s">
        <v>11</v>
      </c>
      <c r="C40" t="s">
        <v>107</v>
      </c>
      <c r="D40">
        <v>414</v>
      </c>
    </row>
    <row r="41" spans="1:4" x14ac:dyDescent="0.3">
      <c r="A41" s="1">
        <v>46208</v>
      </c>
      <c r="B41" t="s">
        <v>13</v>
      </c>
      <c r="C41" t="s">
        <v>20</v>
      </c>
      <c r="D41">
        <v>186</v>
      </c>
    </row>
    <row r="42" spans="1:4" x14ac:dyDescent="0.3">
      <c r="A42" s="1">
        <v>46208</v>
      </c>
      <c r="B42" t="s">
        <v>13</v>
      </c>
      <c r="C42" t="s">
        <v>16</v>
      </c>
      <c r="D42">
        <v>131</v>
      </c>
    </row>
    <row r="43" spans="1:4" x14ac:dyDescent="0.3">
      <c r="A43" s="1">
        <v>46208</v>
      </c>
      <c r="B43" t="s">
        <v>13</v>
      </c>
      <c r="C43" t="s">
        <v>19</v>
      </c>
      <c r="D43">
        <v>159</v>
      </c>
    </row>
    <row r="44" spans="1:4" x14ac:dyDescent="0.3">
      <c r="A44" s="1">
        <v>46208</v>
      </c>
      <c r="B44" t="s">
        <v>13</v>
      </c>
      <c r="C44" t="s">
        <v>14</v>
      </c>
      <c r="D44">
        <v>186</v>
      </c>
    </row>
    <row r="45" spans="1:4" x14ac:dyDescent="0.3">
      <c r="A45" s="1">
        <v>46208</v>
      </c>
      <c r="B45" t="s">
        <v>13</v>
      </c>
      <c r="C45" t="s">
        <v>102</v>
      </c>
      <c r="D45">
        <v>102</v>
      </c>
    </row>
    <row r="46" spans="1:4" x14ac:dyDescent="0.3">
      <c r="A46" s="1">
        <v>46208</v>
      </c>
      <c r="B46" t="s">
        <v>13</v>
      </c>
      <c r="C46" t="s">
        <v>129</v>
      </c>
      <c r="D46">
        <v>147</v>
      </c>
    </row>
    <row r="47" spans="1:4" x14ac:dyDescent="0.3">
      <c r="A47" s="1">
        <v>46209</v>
      </c>
      <c r="B47" t="s">
        <v>9</v>
      </c>
      <c r="C47" t="s">
        <v>7</v>
      </c>
      <c r="D47">
        <v>280</v>
      </c>
    </row>
    <row r="48" spans="1:4" x14ac:dyDescent="0.3">
      <c r="A48" s="1">
        <v>46209</v>
      </c>
      <c r="B48" t="s">
        <v>98</v>
      </c>
      <c r="C48" t="s">
        <v>99</v>
      </c>
      <c r="D48">
        <v>214</v>
      </c>
    </row>
    <row r="49" spans="1:4" x14ac:dyDescent="0.3">
      <c r="A49" s="1">
        <v>46209</v>
      </c>
      <c r="B49" t="s">
        <v>13</v>
      </c>
      <c r="C49" t="s">
        <v>104</v>
      </c>
      <c r="D49">
        <v>96</v>
      </c>
    </row>
    <row r="50" spans="1:4" x14ac:dyDescent="0.3">
      <c r="A50" s="1">
        <v>46209</v>
      </c>
      <c r="B50" t="s">
        <v>13</v>
      </c>
      <c r="C50" t="s">
        <v>17</v>
      </c>
      <c r="D50">
        <v>120</v>
      </c>
    </row>
    <row r="51" spans="1:4" x14ac:dyDescent="0.3">
      <c r="A51" s="1">
        <v>46209</v>
      </c>
      <c r="B51" t="s">
        <v>98</v>
      </c>
      <c r="C51" t="s">
        <v>111</v>
      </c>
      <c r="D51">
        <v>249</v>
      </c>
    </row>
    <row r="52" spans="1:4" x14ac:dyDescent="0.3">
      <c r="A52" s="1">
        <v>46209</v>
      </c>
      <c r="B52" t="s">
        <v>11</v>
      </c>
      <c r="C52" t="s">
        <v>103</v>
      </c>
      <c r="D52">
        <v>300</v>
      </c>
    </row>
    <row r="53" spans="1:4" x14ac:dyDescent="0.3">
      <c r="A53" s="1">
        <v>46209</v>
      </c>
      <c r="B53" t="s">
        <v>11</v>
      </c>
      <c r="C53" t="s">
        <v>107</v>
      </c>
      <c r="D53">
        <v>150</v>
      </c>
    </row>
    <row r="54" spans="1:4" x14ac:dyDescent="0.3">
      <c r="A54" s="1">
        <v>46209</v>
      </c>
      <c r="B54" t="s">
        <v>13</v>
      </c>
      <c r="C54" t="s">
        <v>19</v>
      </c>
      <c r="D54">
        <v>150</v>
      </c>
    </row>
    <row r="55" spans="1:4" x14ac:dyDescent="0.3">
      <c r="A55" s="1">
        <v>46209</v>
      </c>
      <c r="B55" t="s">
        <v>13</v>
      </c>
      <c r="C55" t="s">
        <v>104</v>
      </c>
      <c r="D55">
        <v>75</v>
      </c>
    </row>
    <row r="56" spans="1:4" x14ac:dyDescent="0.3">
      <c r="A56" s="1">
        <v>46209</v>
      </c>
      <c r="B56" t="s">
        <v>13</v>
      </c>
      <c r="C56" t="s">
        <v>20</v>
      </c>
      <c r="D56">
        <v>217</v>
      </c>
    </row>
    <row r="57" spans="1:4" x14ac:dyDescent="0.3">
      <c r="A57" s="1">
        <v>46209</v>
      </c>
      <c r="B57" t="s">
        <v>13</v>
      </c>
      <c r="C57" t="s">
        <v>14</v>
      </c>
      <c r="D57">
        <v>79</v>
      </c>
    </row>
    <row r="58" spans="1:4" x14ac:dyDescent="0.3">
      <c r="A58" s="1">
        <v>46209</v>
      </c>
      <c r="B58" t="s">
        <v>13</v>
      </c>
      <c r="C58" t="s">
        <v>112</v>
      </c>
      <c r="D58">
        <v>215</v>
      </c>
    </row>
    <row r="59" spans="1:4" x14ac:dyDescent="0.3">
      <c r="A59" s="1">
        <v>46209</v>
      </c>
      <c r="B59" t="s">
        <v>13</v>
      </c>
      <c r="C59" t="s">
        <v>17</v>
      </c>
      <c r="D59">
        <v>93</v>
      </c>
    </row>
    <row r="60" spans="1:4" x14ac:dyDescent="0.3">
      <c r="A60" s="1">
        <v>46209</v>
      </c>
      <c r="B60" t="s">
        <v>13</v>
      </c>
      <c r="C60" t="s">
        <v>18</v>
      </c>
      <c r="D60">
        <v>108</v>
      </c>
    </row>
    <row r="61" spans="1:4" x14ac:dyDescent="0.3">
      <c r="A61" s="1">
        <v>46209</v>
      </c>
      <c r="B61" t="s">
        <v>13</v>
      </c>
      <c r="C61" t="s">
        <v>102</v>
      </c>
      <c r="D61">
        <v>120</v>
      </c>
    </row>
    <row r="62" spans="1:4" x14ac:dyDescent="0.3">
      <c r="A62" s="1">
        <v>46209</v>
      </c>
      <c r="B62" t="s">
        <v>10</v>
      </c>
      <c r="C62" t="s">
        <v>115</v>
      </c>
      <c r="D62">
        <v>162</v>
      </c>
    </row>
    <row r="63" spans="1:4" x14ac:dyDescent="0.3">
      <c r="A63" s="1">
        <v>46210</v>
      </c>
      <c r="B63" t="s">
        <v>98</v>
      </c>
      <c r="C63" t="s">
        <v>113</v>
      </c>
      <c r="D63">
        <v>200</v>
      </c>
    </row>
    <row r="64" spans="1:4" x14ac:dyDescent="0.3">
      <c r="A64" s="1">
        <v>46210</v>
      </c>
      <c r="B64" t="s">
        <v>98</v>
      </c>
      <c r="C64" t="s">
        <v>114</v>
      </c>
      <c r="D64">
        <v>221</v>
      </c>
    </row>
    <row r="65" spans="1:4" x14ac:dyDescent="0.3">
      <c r="A65" s="1">
        <v>46210</v>
      </c>
      <c r="B65" t="s">
        <v>11</v>
      </c>
      <c r="C65" t="s">
        <v>103</v>
      </c>
      <c r="D65">
        <v>403</v>
      </c>
    </row>
    <row r="66" spans="1:4" x14ac:dyDescent="0.3">
      <c r="A66" s="1">
        <v>46210</v>
      </c>
      <c r="B66" t="s">
        <v>11</v>
      </c>
      <c r="C66" t="s">
        <v>107</v>
      </c>
      <c r="D66">
        <v>340</v>
      </c>
    </row>
    <row r="67" spans="1:4" x14ac:dyDescent="0.3">
      <c r="A67" s="1">
        <v>46210</v>
      </c>
      <c r="B67" t="s">
        <v>13</v>
      </c>
      <c r="C67" t="s">
        <v>17</v>
      </c>
      <c r="D67">
        <v>77</v>
      </c>
    </row>
    <row r="68" spans="1:4" x14ac:dyDescent="0.3">
      <c r="A68" s="1">
        <v>46210</v>
      </c>
      <c r="B68" t="s">
        <v>13</v>
      </c>
      <c r="C68" t="s">
        <v>104</v>
      </c>
      <c r="D68">
        <v>96</v>
      </c>
    </row>
    <row r="69" spans="1:4" x14ac:dyDescent="0.3">
      <c r="A69" s="1">
        <v>46210</v>
      </c>
      <c r="B69" t="s">
        <v>98</v>
      </c>
      <c r="C69" t="s">
        <v>111</v>
      </c>
      <c r="D69">
        <v>250</v>
      </c>
    </row>
    <row r="70" spans="1:4" x14ac:dyDescent="0.3">
      <c r="A70" s="1">
        <v>46210</v>
      </c>
      <c r="B70" t="s">
        <v>98</v>
      </c>
      <c r="C70" t="s">
        <v>99</v>
      </c>
      <c r="D70">
        <v>200</v>
      </c>
    </row>
    <row r="71" spans="1:4" x14ac:dyDescent="0.3">
      <c r="A71" s="1">
        <v>46210</v>
      </c>
      <c r="B71" t="s">
        <v>13</v>
      </c>
      <c r="C71" t="s">
        <v>15</v>
      </c>
      <c r="D71">
        <v>211</v>
      </c>
    </row>
    <row r="72" spans="1:4" x14ac:dyDescent="0.3">
      <c r="A72" s="1">
        <v>46210</v>
      </c>
      <c r="B72" t="s">
        <v>13</v>
      </c>
      <c r="C72" t="s">
        <v>112</v>
      </c>
      <c r="D72">
        <v>121</v>
      </c>
    </row>
    <row r="73" spans="1:4" x14ac:dyDescent="0.3">
      <c r="A73" s="1">
        <v>46210</v>
      </c>
      <c r="B73" t="s">
        <v>13</v>
      </c>
      <c r="C73" t="s">
        <v>102</v>
      </c>
      <c r="D73">
        <v>91</v>
      </c>
    </row>
    <row r="74" spans="1:4" x14ac:dyDescent="0.3">
      <c r="A74" s="1">
        <v>46210</v>
      </c>
      <c r="B74" t="s">
        <v>13</v>
      </c>
      <c r="C74" t="s">
        <v>18</v>
      </c>
      <c r="D74">
        <v>78</v>
      </c>
    </row>
    <row r="75" spans="1:4" x14ac:dyDescent="0.3">
      <c r="A75" s="1">
        <v>46211</v>
      </c>
      <c r="B75" t="s">
        <v>9</v>
      </c>
      <c r="C75" t="s">
        <v>7</v>
      </c>
      <c r="D75">
        <v>223</v>
      </c>
    </row>
    <row r="76" spans="1:4" x14ac:dyDescent="0.3">
      <c r="A76" s="1">
        <v>46211</v>
      </c>
      <c r="B76" t="s">
        <v>13</v>
      </c>
      <c r="C76" t="s">
        <v>19</v>
      </c>
      <c r="D76">
        <v>153</v>
      </c>
    </row>
    <row r="77" spans="1:4" x14ac:dyDescent="0.3">
      <c r="A77" s="1">
        <v>46211</v>
      </c>
      <c r="B77" t="s">
        <v>98</v>
      </c>
      <c r="C77" t="s">
        <v>113</v>
      </c>
      <c r="D77">
        <v>170</v>
      </c>
    </row>
    <row r="78" spans="1:4" x14ac:dyDescent="0.3">
      <c r="A78" s="1">
        <v>46211</v>
      </c>
      <c r="B78" t="s">
        <v>10</v>
      </c>
      <c r="C78" t="s">
        <v>130</v>
      </c>
      <c r="D78">
        <v>126</v>
      </c>
    </row>
    <row r="79" spans="1:4" x14ac:dyDescent="0.3">
      <c r="A79" s="1">
        <v>46211</v>
      </c>
      <c r="B79" t="s">
        <v>10</v>
      </c>
      <c r="C79" t="s">
        <v>126</v>
      </c>
      <c r="D79">
        <v>100</v>
      </c>
    </row>
    <row r="80" spans="1:4" x14ac:dyDescent="0.3">
      <c r="A80" s="1">
        <v>46211</v>
      </c>
      <c r="B80" t="s">
        <v>13</v>
      </c>
      <c r="C80" t="s">
        <v>20</v>
      </c>
      <c r="D80">
        <v>184</v>
      </c>
    </row>
    <row r="81" spans="1:4" x14ac:dyDescent="0.3">
      <c r="A81" s="1">
        <v>46211</v>
      </c>
      <c r="B81" t="s">
        <v>11</v>
      </c>
      <c r="C81" s="5" t="s">
        <v>121</v>
      </c>
      <c r="D81">
        <v>411</v>
      </c>
    </row>
    <row r="82" spans="1:4" x14ac:dyDescent="0.3">
      <c r="A82" s="1">
        <v>46211</v>
      </c>
      <c r="B82" t="s">
        <v>11</v>
      </c>
      <c r="C82" s="5" t="s">
        <v>120</v>
      </c>
      <c r="D82">
        <v>471</v>
      </c>
    </row>
    <row r="83" spans="1:4" x14ac:dyDescent="0.3">
      <c r="A83" s="1">
        <v>46211</v>
      </c>
      <c r="B83" t="s">
        <v>13</v>
      </c>
      <c r="C83" t="s">
        <v>104</v>
      </c>
      <c r="D83">
        <v>81</v>
      </c>
    </row>
    <row r="84" spans="1:4" x14ac:dyDescent="0.3">
      <c r="A84" s="1">
        <v>46211</v>
      </c>
      <c r="B84" t="s">
        <v>127</v>
      </c>
      <c r="C84" t="s">
        <v>131</v>
      </c>
      <c r="D84">
        <v>150</v>
      </c>
    </row>
    <row r="85" spans="1:4" x14ac:dyDescent="0.3">
      <c r="A85" s="1">
        <v>46211</v>
      </c>
      <c r="B85" t="s">
        <v>13</v>
      </c>
      <c r="C85" t="s">
        <v>17</v>
      </c>
      <c r="D85">
        <v>78</v>
      </c>
    </row>
    <row r="86" spans="1:4" x14ac:dyDescent="0.3">
      <c r="A86" s="1">
        <v>46211</v>
      </c>
      <c r="B86" t="s">
        <v>13</v>
      </c>
      <c r="C86" t="s">
        <v>19</v>
      </c>
      <c r="D86">
        <v>147</v>
      </c>
    </row>
    <row r="87" spans="1:4" x14ac:dyDescent="0.3">
      <c r="A87" s="1">
        <v>46211</v>
      </c>
      <c r="B87" t="s">
        <v>13</v>
      </c>
      <c r="C87" t="s">
        <v>112</v>
      </c>
      <c r="D87">
        <v>116</v>
      </c>
    </row>
    <row r="88" spans="1:4" x14ac:dyDescent="0.3">
      <c r="A88" s="1">
        <v>46211</v>
      </c>
      <c r="B88" t="s">
        <v>13</v>
      </c>
      <c r="C88" t="s">
        <v>102</v>
      </c>
      <c r="D88">
        <v>90</v>
      </c>
    </row>
    <row r="89" spans="1:4" x14ac:dyDescent="0.3">
      <c r="A89" s="1">
        <v>46211</v>
      </c>
      <c r="B89" t="s">
        <v>10</v>
      </c>
      <c r="C89" t="s">
        <v>115</v>
      </c>
      <c r="D89">
        <v>112</v>
      </c>
    </row>
    <row r="90" spans="1:4" x14ac:dyDescent="0.3">
      <c r="A90" s="1">
        <v>46211</v>
      </c>
      <c r="B90" t="s">
        <v>13</v>
      </c>
      <c r="C90" t="s">
        <v>18</v>
      </c>
      <c r="D90">
        <v>130</v>
      </c>
    </row>
    <row r="91" spans="1:4" x14ac:dyDescent="0.3">
      <c r="A91" s="1">
        <v>46211</v>
      </c>
      <c r="B91" t="s">
        <v>11</v>
      </c>
      <c r="C91" t="s">
        <v>103</v>
      </c>
      <c r="D91">
        <v>440</v>
      </c>
    </row>
    <row r="92" spans="1:4" x14ac:dyDescent="0.3">
      <c r="A92" s="1">
        <v>46211</v>
      </c>
      <c r="B92" t="s">
        <v>11</v>
      </c>
      <c r="C92" t="s">
        <v>107</v>
      </c>
      <c r="D92">
        <v>350</v>
      </c>
    </row>
    <row r="93" spans="1:4" x14ac:dyDescent="0.3">
      <c r="A93" s="1">
        <v>46212</v>
      </c>
      <c r="B93" t="s">
        <v>9</v>
      </c>
      <c r="C93" t="s">
        <v>6</v>
      </c>
      <c r="D93">
        <v>280</v>
      </c>
    </row>
    <row r="94" spans="1:4" x14ac:dyDescent="0.3">
      <c r="A94" s="1">
        <v>46212</v>
      </c>
      <c r="B94" t="s">
        <v>98</v>
      </c>
      <c r="C94" t="s">
        <v>114</v>
      </c>
      <c r="D94">
        <v>200</v>
      </c>
    </row>
    <row r="95" spans="1:4" x14ac:dyDescent="0.3">
      <c r="A95" s="1">
        <v>46212</v>
      </c>
      <c r="B95" t="s">
        <v>98</v>
      </c>
      <c r="C95" t="s">
        <v>113</v>
      </c>
      <c r="D95">
        <v>142</v>
      </c>
    </row>
    <row r="96" spans="1:4" x14ac:dyDescent="0.3">
      <c r="A96" s="1">
        <v>46212</v>
      </c>
      <c r="B96" t="s">
        <v>11</v>
      </c>
      <c r="C96" t="s">
        <v>103</v>
      </c>
      <c r="D96">
        <v>410</v>
      </c>
    </row>
    <row r="97" spans="1:4" x14ac:dyDescent="0.3">
      <c r="A97" s="1">
        <v>46212</v>
      </c>
      <c r="B97" t="s">
        <v>11</v>
      </c>
      <c r="C97" t="s">
        <v>107</v>
      </c>
      <c r="D97">
        <v>300</v>
      </c>
    </row>
    <row r="98" spans="1:4" x14ac:dyDescent="0.3">
      <c r="A98" s="1">
        <v>46213</v>
      </c>
      <c r="B98" t="s">
        <v>13</v>
      </c>
      <c r="C98" t="s">
        <v>20</v>
      </c>
      <c r="D98">
        <v>194</v>
      </c>
    </row>
    <row r="99" spans="1:4" x14ac:dyDescent="0.3">
      <c r="A99" s="1">
        <v>46213</v>
      </c>
      <c r="B99" t="s">
        <v>13</v>
      </c>
      <c r="C99" t="s">
        <v>112</v>
      </c>
      <c r="D99">
        <v>97</v>
      </c>
    </row>
    <row r="100" spans="1:4" x14ac:dyDescent="0.3">
      <c r="A100" s="1">
        <v>46213</v>
      </c>
      <c r="B100" t="s">
        <v>9</v>
      </c>
      <c r="C100" t="s">
        <v>7</v>
      </c>
      <c r="D100">
        <v>294</v>
      </c>
    </row>
    <row r="101" spans="1:4" x14ac:dyDescent="0.3">
      <c r="A101" s="1">
        <v>46213</v>
      </c>
      <c r="B101" t="s">
        <v>98</v>
      </c>
      <c r="C101" t="s">
        <v>113</v>
      </c>
      <c r="D101">
        <v>130</v>
      </c>
    </row>
    <row r="102" spans="1:4" x14ac:dyDescent="0.3">
      <c r="A102" s="1">
        <v>46213</v>
      </c>
      <c r="B102" t="s">
        <v>13</v>
      </c>
      <c r="C102" t="s">
        <v>14</v>
      </c>
      <c r="D102">
        <v>199</v>
      </c>
    </row>
    <row r="103" spans="1:4" x14ac:dyDescent="0.3">
      <c r="A103" s="1">
        <v>46213</v>
      </c>
      <c r="B103" t="s">
        <v>13</v>
      </c>
      <c r="C103" t="s">
        <v>102</v>
      </c>
      <c r="D103">
        <v>81</v>
      </c>
    </row>
    <row r="104" spans="1:4" x14ac:dyDescent="0.3">
      <c r="A104" s="1">
        <v>46213</v>
      </c>
      <c r="B104" t="s">
        <v>98</v>
      </c>
      <c r="C104" t="s">
        <v>111</v>
      </c>
      <c r="D104">
        <v>230</v>
      </c>
    </row>
    <row r="105" spans="1:4" x14ac:dyDescent="0.3">
      <c r="A105" s="1">
        <v>46214</v>
      </c>
      <c r="B105" t="s">
        <v>13</v>
      </c>
      <c r="C105" t="s">
        <v>19</v>
      </c>
      <c r="D105">
        <v>178</v>
      </c>
    </row>
    <row r="106" spans="1:4" x14ac:dyDescent="0.3">
      <c r="A106" s="1">
        <v>46214</v>
      </c>
      <c r="B106" t="s">
        <v>13</v>
      </c>
      <c r="C106" t="s">
        <v>18</v>
      </c>
      <c r="D106">
        <v>153</v>
      </c>
    </row>
    <row r="107" spans="1:4" x14ac:dyDescent="0.3">
      <c r="A107" s="1">
        <v>46214</v>
      </c>
      <c r="B107" t="s">
        <v>98</v>
      </c>
      <c r="C107" t="s">
        <v>99</v>
      </c>
      <c r="D107">
        <v>170</v>
      </c>
    </row>
    <row r="108" spans="1:4" x14ac:dyDescent="0.3">
      <c r="A108" s="1">
        <v>46214</v>
      </c>
      <c r="B108" t="s">
        <v>13</v>
      </c>
      <c r="C108" t="s">
        <v>104</v>
      </c>
      <c r="D108">
        <v>90</v>
      </c>
    </row>
    <row r="109" spans="1:4" x14ac:dyDescent="0.3">
      <c r="A109" s="1">
        <v>46214</v>
      </c>
      <c r="B109" t="s">
        <v>13</v>
      </c>
      <c r="C109" t="s">
        <v>16</v>
      </c>
      <c r="D109">
        <v>57</v>
      </c>
    </row>
    <row r="110" spans="1:4" x14ac:dyDescent="0.3">
      <c r="A110" s="1">
        <v>46214</v>
      </c>
      <c r="B110" t="s">
        <v>13</v>
      </c>
      <c r="C110" t="s">
        <v>17</v>
      </c>
      <c r="D110">
        <v>117</v>
      </c>
    </row>
    <row r="111" spans="1:4" x14ac:dyDescent="0.3">
      <c r="A111" s="1">
        <v>46214</v>
      </c>
      <c r="B111" t="s">
        <v>13</v>
      </c>
      <c r="C111" t="s">
        <v>15</v>
      </c>
      <c r="D111">
        <v>169</v>
      </c>
    </row>
    <row r="112" spans="1:4" x14ac:dyDescent="0.3">
      <c r="A112" s="1">
        <v>46214</v>
      </c>
      <c r="B112" t="s">
        <v>98</v>
      </c>
      <c r="C112" t="s">
        <v>114</v>
      </c>
      <c r="D112">
        <v>200</v>
      </c>
    </row>
    <row r="113" spans="1:4" x14ac:dyDescent="0.3">
      <c r="A113" s="1">
        <v>46214</v>
      </c>
      <c r="B113" t="s">
        <v>13</v>
      </c>
      <c r="C113" t="s">
        <v>20</v>
      </c>
      <c r="D113">
        <v>137</v>
      </c>
    </row>
    <row r="114" spans="1:4" x14ac:dyDescent="0.3">
      <c r="A114" s="1">
        <v>46214</v>
      </c>
      <c r="B114" t="s">
        <v>13</v>
      </c>
      <c r="C114" t="s">
        <v>17</v>
      </c>
      <c r="D114">
        <v>100</v>
      </c>
    </row>
    <row r="115" spans="1:4" x14ac:dyDescent="0.3">
      <c r="A115" s="1">
        <v>46214</v>
      </c>
      <c r="B115" t="s">
        <v>13</v>
      </c>
      <c r="C115" t="s">
        <v>112</v>
      </c>
      <c r="D115">
        <v>87</v>
      </c>
    </row>
    <row r="116" spans="1:4" x14ac:dyDescent="0.3">
      <c r="A116" s="1">
        <v>46214</v>
      </c>
      <c r="B116" t="s">
        <v>13</v>
      </c>
      <c r="C116" t="s">
        <v>104</v>
      </c>
      <c r="D116">
        <v>57</v>
      </c>
    </row>
    <row r="117" spans="1:4" x14ac:dyDescent="0.3">
      <c r="A117" s="1">
        <v>46214</v>
      </c>
      <c r="B117" t="s">
        <v>13</v>
      </c>
      <c r="C117" t="s">
        <v>102</v>
      </c>
      <c r="D117">
        <v>100</v>
      </c>
    </row>
    <row r="118" spans="1:4" x14ac:dyDescent="0.3">
      <c r="A118" s="1">
        <v>46214</v>
      </c>
      <c r="B118" t="s">
        <v>13</v>
      </c>
      <c r="C118" t="s">
        <v>19</v>
      </c>
      <c r="D118">
        <v>165</v>
      </c>
    </row>
    <row r="119" spans="1:4" x14ac:dyDescent="0.3">
      <c r="A119" s="1">
        <v>46214</v>
      </c>
      <c r="B119" t="s">
        <v>10</v>
      </c>
      <c r="C119" t="s">
        <v>115</v>
      </c>
      <c r="D119">
        <v>113</v>
      </c>
    </row>
    <row r="120" spans="1:4" x14ac:dyDescent="0.3">
      <c r="A120" s="1">
        <v>46215</v>
      </c>
      <c r="B120" t="s">
        <v>9</v>
      </c>
      <c r="C120" t="s">
        <v>5</v>
      </c>
      <c r="D120">
        <v>265</v>
      </c>
    </row>
    <row r="121" spans="1:4" x14ac:dyDescent="0.3">
      <c r="A121" s="1">
        <v>46215</v>
      </c>
      <c r="B121" t="s">
        <v>9</v>
      </c>
      <c r="C121" t="s">
        <v>6</v>
      </c>
      <c r="D121">
        <v>250</v>
      </c>
    </row>
    <row r="122" spans="1:4" x14ac:dyDescent="0.3">
      <c r="A122" s="1">
        <v>46215</v>
      </c>
      <c r="B122" t="s">
        <v>13</v>
      </c>
      <c r="C122" t="s">
        <v>16</v>
      </c>
      <c r="D122">
        <v>140</v>
      </c>
    </row>
    <row r="123" spans="1:4" x14ac:dyDescent="0.3">
      <c r="A123" s="1">
        <v>46215</v>
      </c>
      <c r="B123" t="s">
        <v>11</v>
      </c>
      <c r="C123" t="s">
        <v>103</v>
      </c>
      <c r="D123">
        <v>387</v>
      </c>
    </row>
    <row r="124" spans="1:4" x14ac:dyDescent="0.3">
      <c r="A124" s="1">
        <v>46215</v>
      </c>
      <c r="B124" t="s">
        <v>11</v>
      </c>
      <c r="C124" t="s">
        <v>107</v>
      </c>
      <c r="D124">
        <v>300</v>
      </c>
    </row>
    <row r="125" spans="1:4" x14ac:dyDescent="0.3">
      <c r="A125" s="1">
        <v>46215</v>
      </c>
      <c r="B125" t="s">
        <v>11</v>
      </c>
      <c r="C125" s="5" t="s">
        <v>120</v>
      </c>
      <c r="D125">
        <v>426</v>
      </c>
    </row>
    <row r="126" spans="1:4" x14ac:dyDescent="0.3">
      <c r="A126" s="1">
        <v>46215</v>
      </c>
      <c r="B126" t="s">
        <v>11</v>
      </c>
      <c r="C126" t="s">
        <v>121</v>
      </c>
      <c r="D126">
        <v>257</v>
      </c>
    </row>
    <row r="127" spans="1:4" x14ac:dyDescent="0.3">
      <c r="A127" s="1">
        <v>46215</v>
      </c>
      <c r="B127" t="s">
        <v>98</v>
      </c>
      <c r="C127" t="s">
        <v>113</v>
      </c>
      <c r="D127">
        <v>280</v>
      </c>
    </row>
    <row r="128" spans="1:4" x14ac:dyDescent="0.3">
      <c r="A128" s="1">
        <v>46215</v>
      </c>
      <c r="B128" t="s">
        <v>13</v>
      </c>
      <c r="C128" t="s">
        <v>104</v>
      </c>
      <c r="D128">
        <v>68</v>
      </c>
    </row>
    <row r="129" spans="1:4" x14ac:dyDescent="0.3">
      <c r="A129" s="1">
        <v>46215</v>
      </c>
      <c r="B129" t="s">
        <v>13</v>
      </c>
      <c r="C129" t="s">
        <v>112</v>
      </c>
      <c r="D129">
        <v>95</v>
      </c>
    </row>
    <row r="130" spans="1:4" x14ac:dyDescent="0.3">
      <c r="A130" s="1">
        <v>46215</v>
      </c>
      <c r="B130" t="s">
        <v>13</v>
      </c>
      <c r="C130" t="s">
        <v>20</v>
      </c>
      <c r="D130">
        <v>145</v>
      </c>
    </row>
    <row r="131" spans="1:4" x14ac:dyDescent="0.3">
      <c r="A131" s="1">
        <v>46215</v>
      </c>
      <c r="B131" t="s">
        <v>13</v>
      </c>
      <c r="C131" t="s">
        <v>14</v>
      </c>
      <c r="D131">
        <v>120</v>
      </c>
    </row>
    <row r="132" spans="1:4" x14ac:dyDescent="0.3">
      <c r="A132" s="1">
        <v>46215</v>
      </c>
      <c r="B132" t="s">
        <v>13</v>
      </c>
      <c r="C132" t="s">
        <v>19</v>
      </c>
      <c r="D132">
        <v>148</v>
      </c>
    </row>
    <row r="133" spans="1:4" x14ac:dyDescent="0.3">
      <c r="A133" s="1">
        <v>46215</v>
      </c>
      <c r="B133" t="s">
        <v>13</v>
      </c>
      <c r="C133" t="s">
        <v>17</v>
      </c>
      <c r="D133">
        <v>88</v>
      </c>
    </row>
    <row r="134" spans="1:4" x14ac:dyDescent="0.3">
      <c r="A134" s="1">
        <v>46215</v>
      </c>
      <c r="B134" t="s">
        <v>98</v>
      </c>
      <c r="C134" t="s">
        <v>99</v>
      </c>
      <c r="D134">
        <v>181</v>
      </c>
    </row>
    <row r="135" spans="1:4" x14ac:dyDescent="0.3">
      <c r="A135" s="1">
        <v>46215</v>
      </c>
      <c r="B135" t="s">
        <v>13</v>
      </c>
      <c r="C135" t="s">
        <v>114</v>
      </c>
      <c r="D135">
        <v>100</v>
      </c>
    </row>
    <row r="136" spans="1:4" x14ac:dyDescent="0.3">
      <c r="A136" s="1">
        <v>46216</v>
      </c>
      <c r="B136" t="s">
        <v>11</v>
      </c>
      <c r="C136" t="s">
        <v>103</v>
      </c>
      <c r="D136">
        <v>418</v>
      </c>
    </row>
    <row r="137" spans="1:4" x14ac:dyDescent="0.3">
      <c r="A137" s="1">
        <v>46216</v>
      </c>
      <c r="B137" t="s">
        <v>10</v>
      </c>
      <c r="C137" t="s">
        <v>126</v>
      </c>
      <c r="D137">
        <v>123</v>
      </c>
    </row>
    <row r="138" spans="1:4" x14ac:dyDescent="0.3">
      <c r="A138" s="1">
        <v>46216</v>
      </c>
      <c r="B138" t="s">
        <v>10</v>
      </c>
      <c r="C138" t="s">
        <v>8</v>
      </c>
      <c r="D138">
        <v>100</v>
      </c>
    </row>
    <row r="139" spans="1:4" x14ac:dyDescent="0.3">
      <c r="A139" s="1">
        <v>46216</v>
      </c>
      <c r="B139" t="s">
        <v>13</v>
      </c>
      <c r="C139" t="s">
        <v>18</v>
      </c>
      <c r="D139">
        <v>116</v>
      </c>
    </row>
    <row r="140" spans="1:4" x14ac:dyDescent="0.3">
      <c r="A140" s="1">
        <v>46216</v>
      </c>
      <c r="B140" t="s">
        <v>11</v>
      </c>
      <c r="C140" t="s">
        <v>121</v>
      </c>
      <c r="D140">
        <v>267</v>
      </c>
    </row>
    <row r="141" spans="1:4" x14ac:dyDescent="0.3">
      <c r="A141" s="1">
        <v>46216</v>
      </c>
      <c r="B141" t="s">
        <v>11</v>
      </c>
      <c r="C141" t="s">
        <v>103</v>
      </c>
      <c r="D141">
        <v>400</v>
      </c>
    </row>
    <row r="142" spans="1:4" x14ac:dyDescent="0.3">
      <c r="A142" s="1">
        <v>46216</v>
      </c>
      <c r="B142" t="s">
        <v>11</v>
      </c>
      <c r="C142" t="s">
        <v>107</v>
      </c>
      <c r="D142">
        <v>409</v>
      </c>
    </row>
    <row r="143" spans="1:4" x14ac:dyDescent="0.3">
      <c r="A143" s="1">
        <v>46216</v>
      </c>
      <c r="B143" t="s">
        <v>176</v>
      </c>
      <c r="C143" s="24" t="s">
        <v>195</v>
      </c>
      <c r="D143">
        <v>600</v>
      </c>
    </row>
    <row r="144" spans="1:4" x14ac:dyDescent="0.3">
      <c r="A144" s="1">
        <v>46217</v>
      </c>
      <c r="B144" t="s">
        <v>98</v>
      </c>
      <c r="C144" t="s">
        <v>113</v>
      </c>
      <c r="D144">
        <v>290</v>
      </c>
    </row>
    <row r="145" spans="1:4" x14ac:dyDescent="0.3">
      <c r="A145" s="1">
        <v>46217</v>
      </c>
      <c r="B145" t="s">
        <v>13</v>
      </c>
      <c r="C145" t="s">
        <v>20</v>
      </c>
      <c r="D145">
        <v>190</v>
      </c>
    </row>
    <row r="146" spans="1:4" x14ac:dyDescent="0.3">
      <c r="A146" s="1">
        <v>46217</v>
      </c>
      <c r="B146" t="s">
        <v>13</v>
      </c>
      <c r="C146" t="s">
        <v>18</v>
      </c>
      <c r="D146">
        <v>135</v>
      </c>
    </row>
    <row r="147" spans="1:4" x14ac:dyDescent="0.3">
      <c r="A147" s="1">
        <v>46217</v>
      </c>
      <c r="B147" t="s">
        <v>13</v>
      </c>
      <c r="C147" t="s">
        <v>15</v>
      </c>
      <c r="D147">
        <v>255</v>
      </c>
    </row>
    <row r="148" spans="1:4" x14ac:dyDescent="0.3">
      <c r="A148" s="1">
        <v>46217</v>
      </c>
      <c r="B148" t="s">
        <v>10</v>
      </c>
      <c r="C148" t="s">
        <v>115</v>
      </c>
      <c r="D148">
        <v>100</v>
      </c>
    </row>
    <row r="149" spans="1:4" x14ac:dyDescent="0.3">
      <c r="A149" s="1">
        <v>46217</v>
      </c>
      <c r="B149" t="s">
        <v>9</v>
      </c>
      <c r="C149" t="s">
        <v>7</v>
      </c>
      <c r="D149">
        <v>401</v>
      </c>
    </row>
    <row r="150" spans="1:4" x14ac:dyDescent="0.3">
      <c r="A150" s="1">
        <v>46217</v>
      </c>
      <c r="B150" t="s">
        <v>13</v>
      </c>
      <c r="C150" t="s">
        <v>112</v>
      </c>
      <c r="D150">
        <v>118</v>
      </c>
    </row>
    <row r="151" spans="1:4" x14ac:dyDescent="0.3">
      <c r="A151" s="1">
        <v>46217</v>
      </c>
      <c r="B151" t="s">
        <v>13</v>
      </c>
      <c r="C151" t="s">
        <v>19</v>
      </c>
      <c r="D151">
        <v>138</v>
      </c>
    </row>
    <row r="152" spans="1:4" x14ac:dyDescent="0.3">
      <c r="A152" s="1">
        <v>46217</v>
      </c>
      <c r="B152" t="s">
        <v>13</v>
      </c>
      <c r="C152" t="s">
        <v>14</v>
      </c>
      <c r="D152">
        <v>88</v>
      </c>
    </row>
    <row r="153" spans="1:4" x14ac:dyDescent="0.3">
      <c r="A153" s="1">
        <v>46217</v>
      </c>
      <c r="B153" t="s">
        <v>13</v>
      </c>
      <c r="C153" t="s">
        <v>104</v>
      </c>
      <c r="D153">
        <v>107</v>
      </c>
    </row>
    <row r="154" spans="1:4" x14ac:dyDescent="0.3">
      <c r="A154" s="1">
        <v>46217</v>
      </c>
      <c r="B154" t="s">
        <v>13</v>
      </c>
      <c r="C154" t="s">
        <v>17</v>
      </c>
      <c r="D154">
        <v>118</v>
      </c>
    </row>
    <row r="155" spans="1:4" x14ac:dyDescent="0.3">
      <c r="A155" s="1">
        <v>46217</v>
      </c>
      <c r="B155" t="s">
        <v>10</v>
      </c>
      <c r="C155" t="s">
        <v>8</v>
      </c>
      <c r="D155">
        <v>100</v>
      </c>
    </row>
    <row r="156" spans="1:4" x14ac:dyDescent="0.3">
      <c r="A156" s="1">
        <v>46217</v>
      </c>
      <c r="B156" t="s">
        <v>13</v>
      </c>
      <c r="C156" t="s">
        <v>16</v>
      </c>
      <c r="D156">
        <v>146</v>
      </c>
    </row>
    <row r="157" spans="1:4" x14ac:dyDescent="0.3">
      <c r="A157" s="1">
        <v>46217</v>
      </c>
      <c r="B157" t="s">
        <v>105</v>
      </c>
      <c r="C157" t="s">
        <v>128</v>
      </c>
      <c r="D157">
        <v>200</v>
      </c>
    </row>
    <row r="158" spans="1:4" x14ac:dyDescent="0.3">
      <c r="A158" s="1">
        <v>46217</v>
      </c>
      <c r="B158" t="s">
        <v>98</v>
      </c>
      <c r="C158" t="s">
        <v>114</v>
      </c>
      <c r="D158">
        <v>197</v>
      </c>
    </row>
    <row r="159" spans="1:4" x14ac:dyDescent="0.3">
      <c r="A159" s="1">
        <v>46217</v>
      </c>
      <c r="B159" t="s">
        <v>9</v>
      </c>
      <c r="C159" t="s">
        <v>5</v>
      </c>
      <c r="D159">
        <v>281</v>
      </c>
    </row>
    <row r="160" spans="1:4" x14ac:dyDescent="0.3">
      <c r="A160" s="1">
        <v>46217</v>
      </c>
      <c r="B160" t="s">
        <v>13</v>
      </c>
      <c r="C160" t="s">
        <v>102</v>
      </c>
      <c r="D160">
        <v>130</v>
      </c>
    </row>
    <row r="161" spans="1:5" x14ac:dyDescent="0.3">
      <c r="A161" s="1">
        <v>46217</v>
      </c>
      <c r="B161" t="s">
        <v>9</v>
      </c>
      <c r="C161" t="s">
        <v>177</v>
      </c>
      <c r="D161">
        <v>140</v>
      </c>
      <c r="E161" t="s">
        <v>193</v>
      </c>
    </row>
    <row r="162" spans="1:5" x14ac:dyDescent="0.3">
      <c r="A162" s="1">
        <v>46217</v>
      </c>
      <c r="B162" t="s">
        <v>11</v>
      </c>
      <c r="C162" t="s">
        <v>103</v>
      </c>
      <c r="D162">
        <v>200</v>
      </c>
    </row>
    <row r="163" spans="1:5" x14ac:dyDescent="0.3">
      <c r="A163" s="1">
        <v>46217</v>
      </c>
      <c r="B163" t="s">
        <v>11</v>
      </c>
      <c r="C163" t="s">
        <v>107</v>
      </c>
      <c r="D163">
        <v>200</v>
      </c>
    </row>
    <row r="164" spans="1:5" x14ac:dyDescent="0.3">
      <c r="A164" s="1">
        <v>46217</v>
      </c>
      <c r="B164" t="s">
        <v>11</v>
      </c>
      <c r="C164" t="s">
        <v>103</v>
      </c>
      <c r="D164">
        <v>350</v>
      </c>
    </row>
    <row r="165" spans="1:5" x14ac:dyDescent="0.3">
      <c r="A165" s="1">
        <v>46217</v>
      </c>
      <c r="B165" t="s">
        <v>11</v>
      </c>
      <c r="C165" t="s">
        <v>107</v>
      </c>
      <c r="D165">
        <v>400</v>
      </c>
    </row>
    <row r="166" spans="1:5" x14ac:dyDescent="0.3">
      <c r="A166" s="1">
        <v>46217</v>
      </c>
      <c r="B166" t="s">
        <v>11</v>
      </c>
      <c r="C166" s="5" t="s">
        <v>120</v>
      </c>
      <c r="D166">
        <v>443</v>
      </c>
    </row>
    <row r="167" spans="1:5" x14ac:dyDescent="0.3">
      <c r="A167" s="1">
        <v>46217</v>
      </c>
      <c r="B167" t="s">
        <v>13</v>
      </c>
      <c r="C167" t="s">
        <v>19</v>
      </c>
      <c r="D167">
        <v>100</v>
      </c>
    </row>
    <row r="168" spans="1:5" x14ac:dyDescent="0.3">
      <c r="A168" s="1">
        <v>46217</v>
      </c>
      <c r="B168" t="s">
        <v>98</v>
      </c>
      <c r="C168" t="s">
        <v>99</v>
      </c>
      <c r="D168">
        <v>176</v>
      </c>
    </row>
    <row r="169" spans="1:5" x14ac:dyDescent="0.3">
      <c r="A169" s="1">
        <v>46217</v>
      </c>
      <c r="B169" t="s">
        <v>13</v>
      </c>
      <c r="C169" t="s">
        <v>17</v>
      </c>
      <c r="D169">
        <v>95</v>
      </c>
    </row>
    <row r="170" spans="1:5" x14ac:dyDescent="0.3">
      <c r="A170" s="1">
        <v>46217</v>
      </c>
      <c r="B170" t="s">
        <v>176</v>
      </c>
      <c r="C170" s="25" t="s">
        <v>195</v>
      </c>
      <c r="D170">
        <v>400</v>
      </c>
    </row>
    <row r="171" spans="1:5" x14ac:dyDescent="0.3">
      <c r="A171" s="1">
        <v>46218</v>
      </c>
      <c r="B171" t="s">
        <v>13</v>
      </c>
      <c r="C171" t="s">
        <v>17</v>
      </c>
      <c r="D171">
        <v>100</v>
      </c>
    </row>
    <row r="172" spans="1:5" x14ac:dyDescent="0.3">
      <c r="A172" s="1">
        <v>46218</v>
      </c>
      <c r="B172" t="s">
        <v>98</v>
      </c>
      <c r="C172" t="s">
        <v>113</v>
      </c>
      <c r="D172">
        <v>141</v>
      </c>
    </row>
    <row r="173" spans="1:5" x14ac:dyDescent="0.3">
      <c r="A173" s="1">
        <v>46218</v>
      </c>
      <c r="B173" t="s">
        <v>13</v>
      </c>
      <c r="C173" t="s">
        <v>112</v>
      </c>
      <c r="D173">
        <v>90</v>
      </c>
    </row>
    <row r="174" spans="1:5" x14ac:dyDescent="0.3">
      <c r="A174" s="1">
        <v>46218</v>
      </c>
      <c r="B174" t="s">
        <v>98</v>
      </c>
      <c r="C174" t="s">
        <v>111</v>
      </c>
      <c r="D174">
        <v>200</v>
      </c>
    </row>
    <row r="175" spans="1:5" x14ac:dyDescent="0.3">
      <c r="A175" s="1">
        <v>46218</v>
      </c>
      <c r="B175" t="s">
        <v>13</v>
      </c>
      <c r="C175" t="s">
        <v>14</v>
      </c>
      <c r="D175">
        <v>75</v>
      </c>
    </row>
    <row r="176" spans="1:5" x14ac:dyDescent="0.3">
      <c r="A176" s="1">
        <v>46218</v>
      </c>
      <c r="B176" t="s">
        <v>13</v>
      </c>
      <c r="C176" t="s">
        <v>15</v>
      </c>
      <c r="D176">
        <v>145</v>
      </c>
    </row>
    <row r="177" spans="1:5" x14ac:dyDescent="0.3">
      <c r="A177" s="1">
        <v>46218</v>
      </c>
      <c r="B177" t="s">
        <v>98</v>
      </c>
      <c r="C177" t="s">
        <v>114</v>
      </c>
      <c r="D177">
        <v>182</v>
      </c>
    </row>
    <row r="178" spans="1:5" x14ac:dyDescent="0.3">
      <c r="A178" s="1">
        <v>46218</v>
      </c>
      <c r="B178" t="s">
        <v>13</v>
      </c>
      <c r="C178" t="s">
        <v>17</v>
      </c>
      <c r="D178">
        <v>75</v>
      </c>
    </row>
    <row r="179" spans="1:5" x14ac:dyDescent="0.3">
      <c r="A179" s="1">
        <v>46218</v>
      </c>
      <c r="B179" t="s">
        <v>11</v>
      </c>
      <c r="C179" t="s">
        <v>121</v>
      </c>
      <c r="D179">
        <v>200</v>
      </c>
    </row>
    <row r="180" spans="1:5" x14ac:dyDescent="0.3">
      <c r="A180" s="1">
        <v>46218</v>
      </c>
      <c r="B180" t="s">
        <v>11</v>
      </c>
      <c r="C180" t="s">
        <v>107</v>
      </c>
      <c r="D180">
        <v>400</v>
      </c>
    </row>
    <row r="181" spans="1:5" x14ac:dyDescent="0.3">
      <c r="A181" s="1">
        <v>46218</v>
      </c>
      <c r="B181" t="s">
        <v>176</v>
      </c>
      <c r="C181" s="25" t="s">
        <v>195</v>
      </c>
      <c r="D181">
        <v>590</v>
      </c>
    </row>
    <row r="182" spans="1:5" x14ac:dyDescent="0.3">
      <c r="A182" s="1">
        <v>46218</v>
      </c>
      <c r="B182" t="s">
        <v>10</v>
      </c>
      <c r="C182" t="s">
        <v>8</v>
      </c>
      <c r="D182">
        <v>142</v>
      </c>
    </row>
    <row r="183" spans="1:5" x14ac:dyDescent="0.3">
      <c r="A183" s="1">
        <v>46218</v>
      </c>
      <c r="B183" t="s">
        <v>13</v>
      </c>
      <c r="C183" s="5" t="s">
        <v>19</v>
      </c>
      <c r="D183">
        <v>128</v>
      </c>
    </row>
    <row r="184" spans="1:5" x14ac:dyDescent="0.3">
      <c r="A184" s="1">
        <v>46218</v>
      </c>
      <c r="B184" t="s">
        <v>9</v>
      </c>
      <c r="C184" t="s">
        <v>177</v>
      </c>
      <c r="D184">
        <v>150</v>
      </c>
      <c r="E184" t="s">
        <v>193</v>
      </c>
    </row>
    <row r="185" spans="1:5" x14ac:dyDescent="0.3">
      <c r="A185" s="1">
        <v>46218</v>
      </c>
      <c r="B185" t="s">
        <v>10</v>
      </c>
      <c r="C185" t="s">
        <v>126</v>
      </c>
      <c r="D185">
        <v>142</v>
      </c>
    </row>
    <row r="186" spans="1:5" x14ac:dyDescent="0.3">
      <c r="A186" s="1">
        <v>46218</v>
      </c>
      <c r="B186" t="s">
        <v>10</v>
      </c>
      <c r="C186" t="s">
        <v>115</v>
      </c>
      <c r="D186">
        <v>105</v>
      </c>
    </row>
    <row r="187" spans="1:5" x14ac:dyDescent="0.3">
      <c r="A187" s="1">
        <v>46218</v>
      </c>
      <c r="B187" t="s">
        <v>13</v>
      </c>
      <c r="C187" t="s">
        <v>112</v>
      </c>
      <c r="D187">
        <v>133</v>
      </c>
    </row>
    <row r="188" spans="1:5" x14ac:dyDescent="0.3">
      <c r="A188" s="1">
        <v>46218</v>
      </c>
      <c r="B188" t="s">
        <v>21</v>
      </c>
      <c r="C188" t="s">
        <v>23</v>
      </c>
      <c r="D188">
        <v>107</v>
      </c>
    </row>
    <row r="189" spans="1:5" x14ac:dyDescent="0.3">
      <c r="A189" s="1">
        <v>46218</v>
      </c>
      <c r="B189" t="s">
        <v>21</v>
      </c>
      <c r="C189" t="s">
        <v>70</v>
      </c>
      <c r="D189">
        <v>183</v>
      </c>
    </row>
    <row r="190" spans="1:5" x14ac:dyDescent="0.3">
      <c r="A190" s="1">
        <v>46218</v>
      </c>
      <c r="B190" t="s">
        <v>11</v>
      </c>
      <c r="C190" t="s">
        <v>103</v>
      </c>
      <c r="D190">
        <v>400</v>
      </c>
    </row>
    <row r="191" spans="1:5" x14ac:dyDescent="0.3">
      <c r="A191" s="1">
        <v>46218</v>
      </c>
      <c r="B191" t="s">
        <v>11</v>
      </c>
      <c r="C191" t="s">
        <v>107</v>
      </c>
      <c r="D191">
        <v>360</v>
      </c>
    </row>
    <row r="192" spans="1:5" x14ac:dyDescent="0.3">
      <c r="A192" s="1">
        <v>46218</v>
      </c>
      <c r="B192" t="s">
        <v>127</v>
      </c>
      <c r="C192" t="s">
        <v>133</v>
      </c>
      <c r="D192">
        <v>100</v>
      </c>
    </row>
    <row r="193" spans="1:4" x14ac:dyDescent="0.3">
      <c r="A193" s="1">
        <v>46218</v>
      </c>
      <c r="B193" t="s">
        <v>11</v>
      </c>
      <c r="C193" s="24" t="s">
        <v>178</v>
      </c>
      <c r="D193">
        <v>200</v>
      </c>
    </row>
  </sheetData>
  <autoFilter ref="A1:D193" xr:uid="{E22D1EC2-B01D-4FF6-9B86-985DD610E68B}"/>
  <conditionalFormatting sqref="A2:A1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6A48-E1B0-4193-9C11-A65581B8F94B}">
  <sheetPr>
    <tabColor rgb="FFFFFF00"/>
  </sheetPr>
  <dimension ref="A3:F62"/>
  <sheetViews>
    <sheetView topLeftCell="A10" zoomScale="55" zoomScaleNormal="55" workbookViewId="0">
      <selection activeCell="Y22" sqref="Y22"/>
    </sheetView>
  </sheetViews>
  <sheetFormatPr defaultRowHeight="14.4" x14ac:dyDescent="0.3"/>
  <cols>
    <col min="1" max="1" width="17" bestFit="1" customWidth="1"/>
    <col min="2" max="2" width="13.21875" bestFit="1" customWidth="1"/>
    <col min="3" max="3" width="8" bestFit="1" customWidth="1"/>
    <col min="5" max="5" width="22.5546875" bestFit="1" customWidth="1"/>
    <col min="6" max="6" width="8" bestFit="1" customWidth="1"/>
    <col min="7" max="7" width="7.88671875" bestFit="1" customWidth="1"/>
  </cols>
  <sheetData>
    <row r="3" spans="1:6" x14ac:dyDescent="0.3">
      <c r="A3" s="22" t="s">
        <v>192</v>
      </c>
      <c r="E3" s="22" t="s">
        <v>192</v>
      </c>
    </row>
    <row r="4" spans="1:6" x14ac:dyDescent="0.3">
      <c r="A4" s="22" t="s">
        <v>2</v>
      </c>
      <c r="B4" s="22" t="s">
        <v>29</v>
      </c>
      <c r="C4" t="s">
        <v>247</v>
      </c>
      <c r="E4" s="22" t="s">
        <v>2</v>
      </c>
      <c r="F4" t="s">
        <v>247</v>
      </c>
    </row>
    <row r="5" spans="1:6" x14ac:dyDescent="0.3">
      <c r="A5" t="s">
        <v>46</v>
      </c>
      <c r="B5" t="s">
        <v>52</v>
      </c>
      <c r="C5" s="37">
        <v>373.43</v>
      </c>
      <c r="E5" t="s">
        <v>46</v>
      </c>
      <c r="F5" s="37">
        <v>1143.69</v>
      </c>
    </row>
    <row r="6" spans="1:6" x14ac:dyDescent="0.3">
      <c r="B6" t="s">
        <v>225</v>
      </c>
      <c r="C6" s="37">
        <v>770.26</v>
      </c>
      <c r="E6" t="s">
        <v>45</v>
      </c>
      <c r="F6" s="37">
        <v>230.4</v>
      </c>
    </row>
    <row r="7" spans="1:6" x14ac:dyDescent="0.3">
      <c r="A7" t="s">
        <v>45</v>
      </c>
      <c r="B7" t="s">
        <v>225</v>
      </c>
      <c r="C7" s="37">
        <v>230.4</v>
      </c>
      <c r="E7" t="s">
        <v>27</v>
      </c>
      <c r="F7" s="37">
        <v>688.02</v>
      </c>
    </row>
    <row r="8" spans="1:6" x14ac:dyDescent="0.3">
      <c r="A8" t="s">
        <v>27</v>
      </c>
      <c r="B8" t="s">
        <v>68</v>
      </c>
      <c r="C8" s="37">
        <v>688.02</v>
      </c>
      <c r="E8" t="s">
        <v>74</v>
      </c>
      <c r="F8" s="37">
        <v>1290</v>
      </c>
    </row>
    <row r="9" spans="1:6" x14ac:dyDescent="0.3">
      <c r="A9" t="s">
        <v>74</v>
      </c>
      <c r="B9" t="s">
        <v>73</v>
      </c>
      <c r="C9" s="37">
        <v>200</v>
      </c>
      <c r="E9" t="s">
        <v>57</v>
      </c>
      <c r="F9" s="37">
        <v>690.05</v>
      </c>
    </row>
    <row r="10" spans="1:6" x14ac:dyDescent="0.3">
      <c r="B10" t="s">
        <v>244</v>
      </c>
      <c r="C10" s="37">
        <v>1090</v>
      </c>
      <c r="E10" t="s">
        <v>133</v>
      </c>
      <c r="F10" s="37">
        <v>200</v>
      </c>
    </row>
    <row r="11" spans="1:6" x14ac:dyDescent="0.3">
      <c r="A11" t="s">
        <v>57</v>
      </c>
      <c r="B11" t="s">
        <v>49</v>
      </c>
      <c r="C11" s="37">
        <v>690.05</v>
      </c>
      <c r="E11" t="s">
        <v>91</v>
      </c>
      <c r="F11" s="37">
        <v>404</v>
      </c>
    </row>
    <row r="12" spans="1:6" x14ac:dyDescent="0.3">
      <c r="A12" t="s">
        <v>133</v>
      </c>
      <c r="B12" t="s">
        <v>240</v>
      </c>
      <c r="C12" s="37">
        <v>200</v>
      </c>
      <c r="E12" t="s">
        <v>160</v>
      </c>
      <c r="F12" s="37">
        <v>765</v>
      </c>
    </row>
    <row r="13" spans="1:6" x14ac:dyDescent="0.3">
      <c r="A13" t="s">
        <v>91</v>
      </c>
      <c r="B13" t="s">
        <v>187</v>
      </c>
      <c r="C13" s="37">
        <v>404</v>
      </c>
      <c r="E13" t="s">
        <v>163</v>
      </c>
      <c r="F13" s="37">
        <v>636.49</v>
      </c>
    </row>
    <row r="14" spans="1:6" x14ac:dyDescent="0.3">
      <c r="A14" t="s">
        <v>160</v>
      </c>
      <c r="B14" t="s">
        <v>238</v>
      </c>
      <c r="C14" s="37">
        <v>765</v>
      </c>
      <c r="E14" t="s">
        <v>22</v>
      </c>
      <c r="F14" s="37">
        <v>1089.9899999999998</v>
      </c>
    </row>
    <row r="15" spans="1:6" x14ac:dyDescent="0.3">
      <c r="A15" t="s">
        <v>163</v>
      </c>
      <c r="B15" t="s">
        <v>246</v>
      </c>
      <c r="C15" s="37">
        <v>636.49</v>
      </c>
      <c r="E15" t="s">
        <v>60</v>
      </c>
      <c r="F15" s="37">
        <v>180</v>
      </c>
    </row>
    <row r="16" spans="1:6" x14ac:dyDescent="0.3">
      <c r="A16" t="s">
        <v>22</v>
      </c>
      <c r="B16" t="s">
        <v>62</v>
      </c>
      <c r="C16" s="37">
        <v>520.07999999999993</v>
      </c>
      <c r="E16" t="s">
        <v>65</v>
      </c>
      <c r="F16" s="37">
        <v>860</v>
      </c>
    </row>
    <row r="17" spans="1:6" x14ac:dyDescent="0.3">
      <c r="B17" t="s">
        <v>187</v>
      </c>
      <c r="C17" s="37">
        <v>569.91</v>
      </c>
      <c r="E17" t="s">
        <v>118</v>
      </c>
      <c r="F17" s="37">
        <v>300</v>
      </c>
    </row>
    <row r="18" spans="1:6" x14ac:dyDescent="0.3">
      <c r="A18" t="s">
        <v>60</v>
      </c>
      <c r="B18" t="s">
        <v>55</v>
      </c>
      <c r="C18" s="37">
        <v>180</v>
      </c>
      <c r="E18" t="s">
        <v>93</v>
      </c>
      <c r="F18" s="37">
        <v>350.02</v>
      </c>
    </row>
    <row r="19" spans="1:6" x14ac:dyDescent="0.3">
      <c r="A19" t="s">
        <v>65</v>
      </c>
      <c r="B19" t="s">
        <v>64</v>
      </c>
      <c r="C19" s="37">
        <v>860</v>
      </c>
      <c r="E19" t="s">
        <v>48</v>
      </c>
      <c r="F19" s="37">
        <v>885.16</v>
      </c>
    </row>
    <row r="20" spans="1:6" x14ac:dyDescent="0.3">
      <c r="A20" t="s">
        <v>118</v>
      </c>
      <c r="B20" t="s">
        <v>187</v>
      </c>
      <c r="C20" s="37">
        <v>300</v>
      </c>
      <c r="E20" t="s">
        <v>47</v>
      </c>
      <c r="F20" s="37">
        <v>1568</v>
      </c>
    </row>
    <row r="21" spans="1:6" x14ac:dyDescent="0.3">
      <c r="A21" t="s">
        <v>93</v>
      </c>
      <c r="B21" t="s">
        <v>226</v>
      </c>
      <c r="C21" s="37">
        <v>350.02</v>
      </c>
      <c r="E21" t="s">
        <v>123</v>
      </c>
      <c r="F21" s="37">
        <v>996.03</v>
      </c>
    </row>
    <row r="22" spans="1:6" x14ac:dyDescent="0.3">
      <c r="A22" t="s">
        <v>48</v>
      </c>
      <c r="B22" t="s">
        <v>42</v>
      </c>
      <c r="C22" s="37">
        <v>885.16</v>
      </c>
      <c r="E22" t="s">
        <v>169</v>
      </c>
      <c r="F22" s="37">
        <v>300</v>
      </c>
    </row>
    <row r="23" spans="1:6" x14ac:dyDescent="0.3">
      <c r="A23" t="s">
        <v>47</v>
      </c>
      <c r="B23" t="s">
        <v>89</v>
      </c>
      <c r="C23" s="37">
        <v>1568</v>
      </c>
      <c r="E23" t="s">
        <v>82</v>
      </c>
      <c r="F23" s="37">
        <v>917.04</v>
      </c>
    </row>
    <row r="24" spans="1:6" x14ac:dyDescent="0.3">
      <c r="A24" t="s">
        <v>123</v>
      </c>
      <c r="B24" t="s">
        <v>242</v>
      </c>
      <c r="C24" s="37">
        <v>996.03</v>
      </c>
      <c r="E24" t="s">
        <v>67</v>
      </c>
      <c r="F24" s="37">
        <v>800.63</v>
      </c>
    </row>
    <row r="25" spans="1:6" x14ac:dyDescent="0.3">
      <c r="A25" t="s">
        <v>169</v>
      </c>
      <c r="B25" t="s">
        <v>228</v>
      </c>
      <c r="C25" s="37">
        <v>300</v>
      </c>
      <c r="E25" t="s">
        <v>159</v>
      </c>
      <c r="F25" s="37">
        <v>660.19</v>
      </c>
    </row>
    <row r="26" spans="1:6" x14ac:dyDescent="0.3">
      <c r="A26" t="s">
        <v>82</v>
      </c>
      <c r="B26" t="s">
        <v>81</v>
      </c>
      <c r="C26" s="37">
        <v>310.02999999999997</v>
      </c>
      <c r="E26" t="s">
        <v>61</v>
      </c>
      <c r="F26" s="37">
        <v>800</v>
      </c>
    </row>
    <row r="27" spans="1:6" x14ac:dyDescent="0.3">
      <c r="B27" t="s">
        <v>227</v>
      </c>
      <c r="C27" s="37">
        <v>607.01</v>
      </c>
      <c r="E27" t="s">
        <v>33</v>
      </c>
      <c r="F27" s="37">
        <v>562.11</v>
      </c>
    </row>
    <row r="28" spans="1:6" x14ac:dyDescent="0.3">
      <c r="A28" t="s">
        <v>67</v>
      </c>
      <c r="B28" t="s">
        <v>218</v>
      </c>
      <c r="C28" s="37">
        <v>800.63</v>
      </c>
      <c r="E28" t="s">
        <v>58</v>
      </c>
      <c r="F28" s="37">
        <v>903.01</v>
      </c>
    </row>
    <row r="29" spans="1:6" x14ac:dyDescent="0.3">
      <c r="A29" t="s">
        <v>159</v>
      </c>
      <c r="B29" t="s">
        <v>270</v>
      </c>
      <c r="C29" s="37">
        <v>660.19</v>
      </c>
      <c r="E29" t="s">
        <v>70</v>
      </c>
      <c r="F29" s="37">
        <v>867.16000000000008</v>
      </c>
    </row>
    <row r="30" spans="1:6" x14ac:dyDescent="0.3">
      <c r="A30" t="s">
        <v>61</v>
      </c>
      <c r="B30" t="s">
        <v>56</v>
      </c>
      <c r="C30" s="37">
        <v>800</v>
      </c>
      <c r="E30" t="s">
        <v>86</v>
      </c>
      <c r="F30" s="37">
        <v>923</v>
      </c>
    </row>
    <row r="31" spans="1:6" x14ac:dyDescent="0.3">
      <c r="A31" t="s">
        <v>33</v>
      </c>
      <c r="B31" t="s">
        <v>80</v>
      </c>
      <c r="C31" s="37">
        <v>562.11</v>
      </c>
      <c r="E31" t="s">
        <v>24</v>
      </c>
      <c r="F31" s="37">
        <v>1193.8</v>
      </c>
    </row>
    <row r="32" spans="1:6" x14ac:dyDescent="0.3">
      <c r="A32" t="s">
        <v>58</v>
      </c>
      <c r="B32" t="s">
        <v>230</v>
      </c>
      <c r="C32" s="37">
        <v>903.01</v>
      </c>
      <c r="E32" t="s">
        <v>32</v>
      </c>
      <c r="F32" s="37">
        <v>1782.01</v>
      </c>
    </row>
    <row r="33" spans="1:6" x14ac:dyDescent="0.3">
      <c r="A33" t="s">
        <v>70</v>
      </c>
      <c r="B33" t="s">
        <v>239</v>
      </c>
      <c r="C33" s="37">
        <v>867.16000000000008</v>
      </c>
      <c r="E33" t="s">
        <v>184</v>
      </c>
      <c r="F33" s="37">
        <v>350</v>
      </c>
    </row>
    <row r="34" spans="1:6" x14ac:dyDescent="0.3">
      <c r="A34" t="s">
        <v>86</v>
      </c>
      <c r="B34" t="s">
        <v>85</v>
      </c>
      <c r="C34" s="37">
        <v>923</v>
      </c>
      <c r="E34" t="s">
        <v>44</v>
      </c>
      <c r="F34" s="37">
        <v>969.73</v>
      </c>
    </row>
    <row r="35" spans="1:6" x14ac:dyDescent="0.3">
      <c r="A35" t="s">
        <v>24</v>
      </c>
      <c r="B35" t="s">
        <v>233</v>
      </c>
      <c r="C35" s="37">
        <v>1193.8</v>
      </c>
      <c r="E35" t="s">
        <v>162</v>
      </c>
      <c r="F35" s="37">
        <v>492.91</v>
      </c>
    </row>
    <row r="36" spans="1:6" x14ac:dyDescent="0.3">
      <c r="A36" t="s">
        <v>32</v>
      </c>
      <c r="B36" t="s">
        <v>77</v>
      </c>
      <c r="C36" s="37">
        <v>970</v>
      </c>
      <c r="E36" t="s">
        <v>76</v>
      </c>
      <c r="F36" s="37">
        <v>526</v>
      </c>
    </row>
    <row r="37" spans="1:6" x14ac:dyDescent="0.3">
      <c r="B37" t="s">
        <v>36</v>
      </c>
      <c r="C37" s="37">
        <v>480</v>
      </c>
      <c r="E37" t="s">
        <v>26</v>
      </c>
      <c r="F37" s="37">
        <v>411.65</v>
      </c>
    </row>
    <row r="38" spans="1:6" x14ac:dyDescent="0.3">
      <c r="B38" t="s">
        <v>234</v>
      </c>
      <c r="C38" s="37">
        <v>332.01</v>
      </c>
      <c r="E38" t="s">
        <v>179</v>
      </c>
      <c r="F38" s="37">
        <v>560.63</v>
      </c>
    </row>
    <row r="39" spans="1:6" x14ac:dyDescent="0.3">
      <c r="A39" t="s">
        <v>184</v>
      </c>
      <c r="B39" t="s">
        <v>245</v>
      </c>
      <c r="C39" s="37">
        <v>350</v>
      </c>
      <c r="E39" t="s">
        <v>92</v>
      </c>
      <c r="F39" s="37">
        <v>525.01</v>
      </c>
    </row>
    <row r="40" spans="1:6" x14ac:dyDescent="0.3">
      <c r="A40" t="s">
        <v>44</v>
      </c>
      <c r="B40" t="s">
        <v>38</v>
      </c>
      <c r="C40" s="37">
        <v>969.73</v>
      </c>
      <c r="E40" t="s">
        <v>59</v>
      </c>
      <c r="F40" s="37">
        <v>500</v>
      </c>
    </row>
    <row r="41" spans="1:6" x14ac:dyDescent="0.3">
      <c r="A41" t="s">
        <v>162</v>
      </c>
      <c r="B41" t="s">
        <v>272</v>
      </c>
      <c r="C41" s="37">
        <v>492.91</v>
      </c>
      <c r="E41" t="s">
        <v>34</v>
      </c>
      <c r="F41" s="37">
        <v>1192.3699999999999</v>
      </c>
    </row>
    <row r="42" spans="1:6" x14ac:dyDescent="0.3">
      <c r="A42" t="s">
        <v>76</v>
      </c>
      <c r="B42" t="s">
        <v>75</v>
      </c>
      <c r="C42" s="37">
        <v>526</v>
      </c>
      <c r="E42" t="s">
        <v>158</v>
      </c>
      <c r="F42" s="37">
        <v>650</v>
      </c>
    </row>
    <row r="43" spans="1:6" x14ac:dyDescent="0.3">
      <c r="A43" t="s">
        <v>26</v>
      </c>
      <c r="B43" t="s">
        <v>88</v>
      </c>
      <c r="C43" s="37">
        <v>411.65</v>
      </c>
      <c r="E43" t="s">
        <v>152</v>
      </c>
      <c r="F43" s="37">
        <v>1285.04</v>
      </c>
    </row>
    <row r="44" spans="1:6" x14ac:dyDescent="0.3">
      <c r="A44" t="s">
        <v>179</v>
      </c>
      <c r="B44" t="s">
        <v>78</v>
      </c>
      <c r="C44" s="37">
        <v>560.63</v>
      </c>
      <c r="E44" t="s">
        <v>164</v>
      </c>
      <c r="F44" s="37">
        <v>794.14</v>
      </c>
    </row>
    <row r="45" spans="1:6" x14ac:dyDescent="0.3">
      <c r="A45" t="s">
        <v>92</v>
      </c>
      <c r="B45" t="s">
        <v>187</v>
      </c>
      <c r="C45" s="37">
        <v>525.01</v>
      </c>
      <c r="E45" t="s">
        <v>166</v>
      </c>
      <c r="F45" s="37">
        <v>587.30999999999995</v>
      </c>
    </row>
    <row r="46" spans="1:6" x14ac:dyDescent="0.3">
      <c r="A46" t="s">
        <v>59</v>
      </c>
      <c r="B46" t="s">
        <v>53</v>
      </c>
      <c r="C46" s="37">
        <v>500</v>
      </c>
      <c r="E46" t="s">
        <v>72</v>
      </c>
      <c r="F46" s="37">
        <v>547.03</v>
      </c>
    </row>
    <row r="47" spans="1:6" x14ac:dyDescent="0.3">
      <c r="A47" t="s">
        <v>34</v>
      </c>
      <c r="B47" t="s">
        <v>35</v>
      </c>
      <c r="C47" s="37">
        <v>940.15</v>
      </c>
      <c r="E47" t="s">
        <v>28</v>
      </c>
      <c r="F47" s="37">
        <v>824.68999999999994</v>
      </c>
    </row>
    <row r="48" spans="1:6" x14ac:dyDescent="0.3">
      <c r="B48" t="s">
        <v>87</v>
      </c>
      <c r="C48" s="37">
        <v>252.22</v>
      </c>
      <c r="E48" t="s">
        <v>157</v>
      </c>
      <c r="F48" s="37">
        <v>800</v>
      </c>
    </row>
    <row r="49" spans="1:6" x14ac:dyDescent="0.3">
      <c r="A49" t="s">
        <v>158</v>
      </c>
      <c r="B49" t="s">
        <v>224</v>
      </c>
      <c r="C49" s="37">
        <v>650</v>
      </c>
      <c r="E49" t="s">
        <v>167</v>
      </c>
      <c r="F49" s="37">
        <v>695.24</v>
      </c>
    </row>
    <row r="50" spans="1:6" x14ac:dyDescent="0.3">
      <c r="A50" t="s">
        <v>152</v>
      </c>
      <c r="B50" t="s">
        <v>229</v>
      </c>
      <c r="C50" s="37">
        <v>1285.04</v>
      </c>
      <c r="E50" t="s">
        <v>165</v>
      </c>
      <c r="F50" s="37">
        <v>653.01</v>
      </c>
    </row>
    <row r="51" spans="1:6" x14ac:dyDescent="0.3">
      <c r="A51" t="s">
        <v>164</v>
      </c>
      <c r="B51" t="s">
        <v>269</v>
      </c>
      <c r="C51" s="37">
        <v>794.14</v>
      </c>
      <c r="E51" t="s">
        <v>175</v>
      </c>
      <c r="F51" s="37">
        <v>987.49</v>
      </c>
    </row>
    <row r="52" spans="1:6" x14ac:dyDescent="0.3">
      <c r="A52" t="s">
        <v>166</v>
      </c>
      <c r="B52" t="s">
        <v>235</v>
      </c>
      <c r="C52" s="37">
        <v>587.30999999999995</v>
      </c>
      <c r="E52" t="s">
        <v>23</v>
      </c>
      <c r="F52" s="37">
        <v>1248.49</v>
      </c>
    </row>
    <row r="53" spans="1:6" x14ac:dyDescent="0.3">
      <c r="A53" t="s">
        <v>72</v>
      </c>
      <c r="B53" t="s">
        <v>231</v>
      </c>
      <c r="C53" s="37">
        <v>547.03</v>
      </c>
      <c r="E53" t="s">
        <v>114</v>
      </c>
      <c r="F53" s="37">
        <v>200</v>
      </c>
    </row>
    <row r="54" spans="1:6" x14ac:dyDescent="0.3">
      <c r="A54" t="s">
        <v>28</v>
      </c>
      <c r="B54" t="s">
        <v>37</v>
      </c>
      <c r="C54" s="37">
        <v>824.68999999999994</v>
      </c>
      <c r="E54" t="s">
        <v>168</v>
      </c>
      <c r="F54" s="37">
        <v>265.41000000000003</v>
      </c>
    </row>
    <row r="55" spans="1:6" x14ac:dyDescent="0.3">
      <c r="A55" t="s">
        <v>157</v>
      </c>
      <c r="B55" t="s">
        <v>232</v>
      </c>
      <c r="C55" s="37">
        <v>800</v>
      </c>
      <c r="E55" t="s">
        <v>188</v>
      </c>
      <c r="F55" s="37">
        <v>37051.949999999997</v>
      </c>
    </row>
    <row r="56" spans="1:6" x14ac:dyDescent="0.3">
      <c r="A56" t="s">
        <v>167</v>
      </c>
      <c r="B56" t="s">
        <v>237</v>
      </c>
      <c r="C56" s="37">
        <v>695.24</v>
      </c>
    </row>
    <row r="57" spans="1:6" x14ac:dyDescent="0.3">
      <c r="A57" t="s">
        <v>165</v>
      </c>
      <c r="B57" t="s">
        <v>236</v>
      </c>
      <c r="C57" s="37">
        <v>653.01</v>
      </c>
    </row>
    <row r="58" spans="1:6" x14ac:dyDescent="0.3">
      <c r="A58" t="s">
        <v>175</v>
      </c>
      <c r="B58" t="s">
        <v>84</v>
      </c>
      <c r="C58" s="37">
        <v>987.49</v>
      </c>
    </row>
    <row r="59" spans="1:6" x14ac:dyDescent="0.3">
      <c r="A59" t="s">
        <v>23</v>
      </c>
      <c r="B59" t="s">
        <v>243</v>
      </c>
      <c r="C59" s="37">
        <v>1248.49</v>
      </c>
    </row>
    <row r="60" spans="1:6" x14ac:dyDescent="0.3">
      <c r="A60" t="s">
        <v>114</v>
      </c>
      <c r="B60" t="s">
        <v>241</v>
      </c>
      <c r="C60" s="37">
        <v>200</v>
      </c>
    </row>
    <row r="61" spans="1:6" x14ac:dyDescent="0.3">
      <c r="A61" t="s">
        <v>168</v>
      </c>
      <c r="B61" t="s">
        <v>237</v>
      </c>
      <c r="C61" s="37">
        <v>265.41000000000003</v>
      </c>
    </row>
    <row r="62" spans="1:6" x14ac:dyDescent="0.3">
      <c r="A62" t="s">
        <v>188</v>
      </c>
      <c r="C62" s="37">
        <v>37051.949999999997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BB78-DBBC-4928-B5DB-B0F35328FA5C}">
  <sheetPr>
    <tabColor rgb="FF0070C0"/>
  </sheetPr>
  <dimension ref="A1:N202"/>
  <sheetViews>
    <sheetView workbookViewId="0">
      <pane xSplit="6" ySplit="1" topLeftCell="H2" activePane="bottomRight" state="frozen"/>
      <selection pane="topRight" activeCell="G1" sqref="G1"/>
      <selection pane="bottomLeft" activeCell="A2" sqref="A2"/>
      <selection pane="bottomRight" activeCell="L150" sqref="L150"/>
    </sheetView>
  </sheetViews>
  <sheetFormatPr defaultRowHeight="14.4" x14ac:dyDescent="0.3"/>
  <cols>
    <col min="1" max="1" width="10.109375" hidden="1" customWidth="1"/>
    <col min="2" max="2" width="11.88671875" hidden="1" customWidth="1"/>
    <col min="3" max="3" width="9.6640625" hidden="1" customWidth="1"/>
    <col min="4" max="4" width="9.88671875" hidden="1" customWidth="1"/>
    <col min="5" max="5" width="7.77734375" hidden="1" customWidth="1"/>
    <col min="6" max="6" width="19.6640625" hidden="1" customWidth="1"/>
    <col min="7" max="7" width="0" hidden="1" customWidth="1"/>
    <col min="8" max="8" width="10.109375" style="1" bestFit="1" customWidth="1"/>
    <col min="9" max="9" width="12.6640625" bestFit="1" customWidth="1"/>
    <col min="13" max="15" width="0" hidden="1" customWidth="1"/>
  </cols>
  <sheetData>
    <row r="1" spans="1:14" x14ac:dyDescent="0.3">
      <c r="A1" t="s">
        <v>63</v>
      </c>
      <c r="B1" t="s">
        <v>29</v>
      </c>
      <c r="C1" t="s">
        <v>30</v>
      </c>
      <c r="D1" t="s">
        <v>2</v>
      </c>
      <c r="E1" t="s">
        <v>31</v>
      </c>
      <c r="F1" t="s">
        <v>3</v>
      </c>
      <c r="H1" s="1" t="s">
        <v>63</v>
      </c>
      <c r="I1" t="s">
        <v>29</v>
      </c>
      <c r="J1" t="s">
        <v>30</v>
      </c>
      <c r="K1" t="s">
        <v>2</v>
      </c>
      <c r="L1" t="s">
        <v>31</v>
      </c>
    </row>
    <row r="2" spans="1:14" x14ac:dyDescent="0.3">
      <c r="A2" s="1">
        <v>46205</v>
      </c>
      <c r="B2" t="s">
        <v>36</v>
      </c>
      <c r="C2" t="s">
        <v>25</v>
      </c>
      <c r="D2" t="s">
        <v>32</v>
      </c>
      <c r="E2">
        <v>260</v>
      </c>
      <c r="H2" s="1">
        <v>46205</v>
      </c>
      <c r="I2" t="s">
        <v>36</v>
      </c>
      <c r="J2" t="s">
        <v>25</v>
      </c>
      <c r="K2" t="s">
        <v>32</v>
      </c>
      <c r="L2">
        <v>260</v>
      </c>
      <c r="M2">
        <f>IF(K2=D2,1,0)</f>
        <v>1</v>
      </c>
      <c r="N2">
        <f>IF(I2=B2,1,0)</f>
        <v>1</v>
      </c>
    </row>
    <row r="3" spans="1:14" x14ac:dyDescent="0.3">
      <c r="A3" s="1">
        <v>46205</v>
      </c>
      <c r="B3" t="s">
        <v>80</v>
      </c>
      <c r="C3" t="s">
        <v>25</v>
      </c>
      <c r="D3" t="s">
        <v>33</v>
      </c>
      <c r="E3">
        <v>272.49</v>
      </c>
      <c r="H3" s="1">
        <v>46205</v>
      </c>
      <c r="I3" t="s">
        <v>80</v>
      </c>
      <c r="J3" t="s">
        <v>25</v>
      </c>
      <c r="K3" t="s">
        <v>33</v>
      </c>
      <c r="L3">
        <v>272.49</v>
      </c>
      <c r="M3">
        <f t="shared" ref="M3:M66" si="0">IF(K3=D3,1,0)</f>
        <v>1</v>
      </c>
      <c r="N3">
        <f t="shared" ref="N3:N66" si="1">IF(I3=B3,1,0)</f>
        <v>1</v>
      </c>
    </row>
    <row r="4" spans="1:14" x14ac:dyDescent="0.3">
      <c r="A4" s="1">
        <v>46205</v>
      </c>
      <c r="B4" t="s">
        <v>35</v>
      </c>
      <c r="C4" t="s">
        <v>21</v>
      </c>
      <c r="D4" t="s">
        <v>34</v>
      </c>
      <c r="E4">
        <v>300</v>
      </c>
      <c r="H4" s="1">
        <v>46205</v>
      </c>
      <c r="I4" t="s">
        <v>35</v>
      </c>
      <c r="J4" t="s">
        <v>21</v>
      </c>
      <c r="K4" t="s">
        <v>34</v>
      </c>
      <c r="L4">
        <v>300</v>
      </c>
      <c r="M4">
        <f t="shared" si="0"/>
        <v>1</v>
      </c>
      <c r="N4">
        <f t="shared" si="1"/>
        <v>1</v>
      </c>
    </row>
    <row r="5" spans="1:14" x14ac:dyDescent="0.3">
      <c r="A5" s="1">
        <v>46205</v>
      </c>
      <c r="B5" t="s">
        <v>37</v>
      </c>
      <c r="C5" t="s">
        <v>21</v>
      </c>
      <c r="D5" t="s">
        <v>28</v>
      </c>
      <c r="E5">
        <v>260.64999999999998</v>
      </c>
      <c r="H5" s="1">
        <v>46205</v>
      </c>
      <c r="I5" t="s">
        <v>37</v>
      </c>
      <c r="J5" t="s">
        <v>21</v>
      </c>
      <c r="K5" t="s">
        <v>28</v>
      </c>
      <c r="L5">
        <v>260.64999999999998</v>
      </c>
      <c r="M5">
        <f t="shared" si="0"/>
        <v>1</v>
      </c>
      <c r="N5">
        <f t="shared" si="1"/>
        <v>1</v>
      </c>
    </row>
    <row r="6" spans="1:14" x14ac:dyDescent="0.3">
      <c r="A6" s="1">
        <v>46205</v>
      </c>
      <c r="B6" t="s">
        <v>38</v>
      </c>
      <c r="C6" t="s">
        <v>21</v>
      </c>
      <c r="D6" t="s">
        <v>44</v>
      </c>
      <c r="E6">
        <v>279.73</v>
      </c>
      <c r="H6" s="1">
        <v>46205</v>
      </c>
      <c r="I6" t="s">
        <v>38</v>
      </c>
      <c r="J6" t="s">
        <v>21</v>
      </c>
      <c r="K6" t="s">
        <v>44</v>
      </c>
      <c r="L6">
        <v>279.73</v>
      </c>
      <c r="M6">
        <f t="shared" si="0"/>
        <v>1</v>
      </c>
      <c r="N6">
        <f t="shared" si="1"/>
        <v>1</v>
      </c>
    </row>
    <row r="7" spans="1:14" x14ac:dyDescent="0.3">
      <c r="A7" s="1">
        <v>46205</v>
      </c>
      <c r="B7" t="s">
        <v>39</v>
      </c>
      <c r="C7" t="s">
        <v>25</v>
      </c>
      <c r="D7" t="s">
        <v>45</v>
      </c>
      <c r="E7">
        <v>230.4</v>
      </c>
      <c r="H7" s="1">
        <v>46205</v>
      </c>
      <c r="I7" t="s">
        <v>225</v>
      </c>
      <c r="J7" t="s">
        <v>25</v>
      </c>
      <c r="K7" t="s">
        <v>45</v>
      </c>
      <c r="L7">
        <v>230.4</v>
      </c>
      <c r="M7">
        <f t="shared" si="0"/>
        <v>1</v>
      </c>
      <c r="N7">
        <f t="shared" si="1"/>
        <v>0</v>
      </c>
    </row>
    <row r="8" spans="1:14" x14ac:dyDescent="0.3">
      <c r="A8" s="1">
        <v>46205</v>
      </c>
      <c r="B8" t="s">
        <v>40</v>
      </c>
      <c r="C8" t="s">
        <v>21</v>
      </c>
      <c r="D8" t="s">
        <v>23</v>
      </c>
      <c r="E8">
        <v>300</v>
      </c>
      <c r="H8" s="1">
        <v>46205</v>
      </c>
      <c r="I8" t="s">
        <v>243</v>
      </c>
      <c r="J8" t="s">
        <v>21</v>
      </c>
      <c r="K8" t="s">
        <v>23</v>
      </c>
      <c r="L8">
        <v>300</v>
      </c>
      <c r="M8">
        <f t="shared" si="0"/>
        <v>1</v>
      </c>
      <c r="N8">
        <f t="shared" si="1"/>
        <v>0</v>
      </c>
    </row>
    <row r="9" spans="1:14" x14ac:dyDescent="0.3">
      <c r="A9" s="1">
        <v>46205</v>
      </c>
      <c r="B9" t="s">
        <v>52</v>
      </c>
      <c r="C9" t="s">
        <v>25</v>
      </c>
      <c r="D9" t="s">
        <v>46</v>
      </c>
      <c r="E9">
        <v>161.91999999999999</v>
      </c>
      <c r="H9" s="1">
        <v>46205</v>
      </c>
      <c r="I9" t="s">
        <v>52</v>
      </c>
      <c r="J9" t="s">
        <v>25</v>
      </c>
      <c r="K9" t="s">
        <v>46</v>
      </c>
      <c r="L9">
        <v>161.91999999999999</v>
      </c>
      <c r="M9">
        <f t="shared" si="0"/>
        <v>1</v>
      </c>
      <c r="N9">
        <f t="shared" si="1"/>
        <v>1</v>
      </c>
    </row>
    <row r="10" spans="1:14" x14ac:dyDescent="0.3">
      <c r="A10" s="1">
        <v>46205</v>
      </c>
      <c r="B10" t="s">
        <v>41</v>
      </c>
      <c r="C10" t="s">
        <v>21</v>
      </c>
      <c r="D10" t="s">
        <v>47</v>
      </c>
      <c r="E10">
        <v>300</v>
      </c>
      <c r="H10" s="1">
        <v>46205</v>
      </c>
      <c r="I10" t="s">
        <v>89</v>
      </c>
      <c r="J10" t="s">
        <v>21</v>
      </c>
      <c r="K10" t="s">
        <v>47</v>
      </c>
      <c r="L10">
        <v>300</v>
      </c>
      <c r="M10">
        <f t="shared" si="0"/>
        <v>1</v>
      </c>
      <c r="N10">
        <f t="shared" si="1"/>
        <v>0</v>
      </c>
    </row>
    <row r="11" spans="1:14" x14ac:dyDescent="0.3">
      <c r="A11" s="2">
        <v>46205</v>
      </c>
      <c r="B11" s="3" t="s">
        <v>42</v>
      </c>
      <c r="C11" s="3" t="s">
        <v>43</v>
      </c>
      <c r="D11" s="3" t="s">
        <v>48</v>
      </c>
      <c r="E11" s="3">
        <v>155.05000000000001</v>
      </c>
      <c r="F11" s="3"/>
      <c r="H11" s="1">
        <v>46205</v>
      </c>
      <c r="I11" t="s">
        <v>42</v>
      </c>
      <c r="J11" t="s">
        <v>43</v>
      </c>
      <c r="K11" t="s">
        <v>48</v>
      </c>
      <c r="L11">
        <v>155.05000000000001</v>
      </c>
      <c r="M11">
        <f t="shared" si="0"/>
        <v>1</v>
      </c>
      <c r="N11">
        <f t="shared" si="1"/>
        <v>1</v>
      </c>
    </row>
    <row r="12" spans="1:14" x14ac:dyDescent="0.3">
      <c r="A12" s="1">
        <v>46207</v>
      </c>
      <c r="B12" t="s">
        <v>49</v>
      </c>
      <c r="C12" t="s">
        <v>25</v>
      </c>
      <c r="D12" t="s">
        <v>57</v>
      </c>
      <c r="E12">
        <v>200</v>
      </c>
      <c r="H12" s="1">
        <v>46207</v>
      </c>
      <c r="I12" t="s">
        <v>49</v>
      </c>
      <c r="J12" t="s">
        <v>25</v>
      </c>
      <c r="K12" t="s">
        <v>57</v>
      </c>
      <c r="L12">
        <v>200</v>
      </c>
      <c r="M12">
        <f t="shared" si="0"/>
        <v>1</v>
      </c>
      <c r="N12">
        <f t="shared" si="1"/>
        <v>1</v>
      </c>
    </row>
    <row r="13" spans="1:14" x14ac:dyDescent="0.3">
      <c r="A13" s="1">
        <v>46207</v>
      </c>
      <c r="B13" t="s">
        <v>80</v>
      </c>
      <c r="C13" t="s">
        <v>25</v>
      </c>
      <c r="D13" t="s">
        <v>33</v>
      </c>
      <c r="E13">
        <v>110.13</v>
      </c>
      <c r="H13" s="1">
        <v>46207</v>
      </c>
      <c r="I13" t="s">
        <v>80</v>
      </c>
      <c r="J13" t="s">
        <v>25</v>
      </c>
      <c r="K13" t="s">
        <v>33</v>
      </c>
      <c r="L13">
        <v>110.13</v>
      </c>
      <c r="M13">
        <f t="shared" si="0"/>
        <v>1</v>
      </c>
      <c r="N13">
        <f t="shared" si="1"/>
        <v>1</v>
      </c>
    </row>
    <row r="14" spans="1:14" x14ac:dyDescent="0.3">
      <c r="A14" s="1">
        <v>46207</v>
      </c>
      <c r="B14" t="s">
        <v>50</v>
      </c>
      <c r="C14" t="s">
        <v>25</v>
      </c>
      <c r="D14" t="s">
        <v>58</v>
      </c>
      <c r="E14">
        <v>180</v>
      </c>
      <c r="H14" s="1">
        <v>46207</v>
      </c>
      <c r="I14" t="s">
        <v>230</v>
      </c>
      <c r="J14" t="s">
        <v>25</v>
      </c>
      <c r="K14" t="s">
        <v>58</v>
      </c>
      <c r="L14">
        <v>180</v>
      </c>
      <c r="M14">
        <f t="shared" si="0"/>
        <v>1</v>
      </c>
      <c r="N14">
        <f t="shared" si="1"/>
        <v>0</v>
      </c>
    </row>
    <row r="15" spans="1:14" x14ac:dyDescent="0.3">
      <c r="A15" s="1">
        <v>46207</v>
      </c>
      <c r="B15" t="s">
        <v>36</v>
      </c>
      <c r="C15" t="s">
        <v>25</v>
      </c>
      <c r="D15" t="s">
        <v>32</v>
      </c>
      <c r="E15">
        <v>220</v>
      </c>
      <c r="H15" s="1">
        <v>46207</v>
      </c>
      <c r="I15" t="s">
        <v>36</v>
      </c>
      <c r="J15" t="s">
        <v>25</v>
      </c>
      <c r="K15" t="s">
        <v>32</v>
      </c>
      <c r="L15">
        <v>220</v>
      </c>
      <c r="M15">
        <f t="shared" si="0"/>
        <v>1</v>
      </c>
      <c r="N15">
        <f t="shared" si="1"/>
        <v>1</v>
      </c>
    </row>
    <row r="16" spans="1:14" x14ac:dyDescent="0.3">
      <c r="A16" s="1">
        <v>46207</v>
      </c>
      <c r="B16" t="s">
        <v>51</v>
      </c>
      <c r="C16" t="s">
        <v>25</v>
      </c>
      <c r="D16" t="s">
        <v>26</v>
      </c>
      <c r="E16">
        <v>135.86000000000001</v>
      </c>
      <c r="H16" s="1">
        <v>46207</v>
      </c>
      <c r="I16" t="s">
        <v>88</v>
      </c>
      <c r="J16" t="s">
        <v>25</v>
      </c>
      <c r="K16" t="s">
        <v>26</v>
      </c>
      <c r="L16">
        <v>135.86000000000001</v>
      </c>
      <c r="M16">
        <f t="shared" si="0"/>
        <v>1</v>
      </c>
      <c r="N16">
        <f t="shared" si="1"/>
        <v>0</v>
      </c>
    </row>
    <row r="17" spans="1:14" x14ac:dyDescent="0.3">
      <c r="A17" s="1">
        <v>46207</v>
      </c>
      <c r="B17" t="s">
        <v>52</v>
      </c>
      <c r="C17" t="s">
        <v>25</v>
      </c>
      <c r="D17" t="s">
        <v>46</v>
      </c>
      <c r="E17">
        <v>105.58</v>
      </c>
      <c r="H17" s="1">
        <v>46207</v>
      </c>
      <c r="I17" t="s">
        <v>52</v>
      </c>
      <c r="J17" t="s">
        <v>25</v>
      </c>
      <c r="K17" t="s">
        <v>46</v>
      </c>
      <c r="L17">
        <v>105.58</v>
      </c>
      <c r="M17">
        <f t="shared" si="0"/>
        <v>1</v>
      </c>
      <c r="N17">
        <f t="shared" si="1"/>
        <v>1</v>
      </c>
    </row>
    <row r="18" spans="1:14" x14ac:dyDescent="0.3">
      <c r="A18" s="1">
        <v>46207</v>
      </c>
      <c r="B18" t="s">
        <v>40</v>
      </c>
      <c r="C18" t="s">
        <v>21</v>
      </c>
      <c r="D18" t="s">
        <v>23</v>
      </c>
      <c r="E18">
        <v>197.05</v>
      </c>
      <c r="H18" s="1">
        <v>46207</v>
      </c>
      <c r="I18" t="s">
        <v>243</v>
      </c>
      <c r="J18" t="s">
        <v>21</v>
      </c>
      <c r="K18" t="s">
        <v>23</v>
      </c>
      <c r="L18">
        <v>197.05</v>
      </c>
      <c r="M18">
        <f t="shared" si="0"/>
        <v>1</v>
      </c>
      <c r="N18">
        <f t="shared" si="1"/>
        <v>0</v>
      </c>
    </row>
    <row r="19" spans="1:14" x14ac:dyDescent="0.3">
      <c r="A19" s="1">
        <v>46207</v>
      </c>
      <c r="B19" t="s">
        <v>53</v>
      </c>
      <c r="C19" t="s">
        <v>21</v>
      </c>
      <c r="D19" t="s">
        <v>59</v>
      </c>
      <c r="E19">
        <v>250</v>
      </c>
      <c r="H19" s="1">
        <v>46207</v>
      </c>
      <c r="I19" t="s">
        <v>53</v>
      </c>
      <c r="J19" t="s">
        <v>21</v>
      </c>
      <c r="K19" t="s">
        <v>59</v>
      </c>
      <c r="L19">
        <v>250</v>
      </c>
      <c r="M19">
        <f t="shared" si="0"/>
        <v>1</v>
      </c>
      <c r="N19">
        <f t="shared" si="1"/>
        <v>1</v>
      </c>
    </row>
    <row r="20" spans="1:14" x14ac:dyDescent="0.3">
      <c r="A20" s="1">
        <v>46207</v>
      </c>
      <c r="B20" t="s">
        <v>54</v>
      </c>
      <c r="C20" t="s">
        <v>21</v>
      </c>
      <c r="D20" t="s">
        <v>24</v>
      </c>
      <c r="E20">
        <v>249.75</v>
      </c>
      <c r="H20" s="1">
        <v>46207</v>
      </c>
      <c r="I20" t="s">
        <v>233</v>
      </c>
      <c r="J20" t="s">
        <v>21</v>
      </c>
      <c r="K20" t="s">
        <v>24</v>
      </c>
      <c r="L20">
        <v>249.75</v>
      </c>
      <c r="M20">
        <f t="shared" si="0"/>
        <v>1</v>
      </c>
      <c r="N20">
        <f t="shared" si="1"/>
        <v>0</v>
      </c>
    </row>
    <row r="21" spans="1:14" x14ac:dyDescent="0.3">
      <c r="A21" s="1">
        <v>46207</v>
      </c>
      <c r="B21" t="s">
        <v>55</v>
      </c>
      <c r="C21" t="s">
        <v>25</v>
      </c>
      <c r="D21" t="s">
        <v>60</v>
      </c>
      <c r="E21">
        <v>180</v>
      </c>
      <c r="H21" s="1">
        <v>46207</v>
      </c>
      <c r="I21" t="s">
        <v>55</v>
      </c>
      <c r="J21" t="s">
        <v>25</v>
      </c>
      <c r="K21" t="s">
        <v>60</v>
      </c>
      <c r="L21">
        <v>180</v>
      </c>
      <c r="M21">
        <f t="shared" si="0"/>
        <v>1</v>
      </c>
      <c r="N21">
        <f t="shared" si="1"/>
        <v>1</v>
      </c>
    </row>
    <row r="22" spans="1:14" x14ac:dyDescent="0.3">
      <c r="A22" s="2">
        <v>46207</v>
      </c>
      <c r="B22" s="3" t="s">
        <v>56</v>
      </c>
      <c r="C22" s="3" t="s">
        <v>21</v>
      </c>
      <c r="D22" s="3" t="s">
        <v>61</v>
      </c>
      <c r="E22" s="3">
        <v>250</v>
      </c>
      <c r="F22" s="3"/>
      <c r="H22" s="1">
        <v>46207</v>
      </c>
      <c r="I22" t="s">
        <v>56</v>
      </c>
      <c r="J22" t="s">
        <v>21</v>
      </c>
      <c r="K22" t="s">
        <v>61</v>
      </c>
      <c r="L22">
        <v>250</v>
      </c>
      <c r="M22">
        <f t="shared" si="0"/>
        <v>1</v>
      </c>
      <c r="N22">
        <f t="shared" si="1"/>
        <v>1</v>
      </c>
    </row>
    <row r="23" spans="1:14" x14ac:dyDescent="0.3">
      <c r="A23" s="1">
        <v>46209</v>
      </c>
      <c r="B23" t="s">
        <v>62</v>
      </c>
      <c r="C23" t="s">
        <v>21</v>
      </c>
      <c r="D23" t="s">
        <v>22</v>
      </c>
      <c r="E23">
        <v>280.02999999999997</v>
      </c>
      <c r="H23" s="1">
        <v>46209</v>
      </c>
      <c r="I23" t="s">
        <v>62</v>
      </c>
      <c r="J23" t="s">
        <v>21</v>
      </c>
      <c r="K23" t="s">
        <v>22</v>
      </c>
      <c r="L23">
        <v>280.02999999999997</v>
      </c>
      <c r="M23">
        <f t="shared" si="0"/>
        <v>1</v>
      </c>
      <c r="N23">
        <f t="shared" si="1"/>
        <v>1</v>
      </c>
    </row>
    <row r="24" spans="1:14" x14ac:dyDescent="0.3">
      <c r="A24" s="1">
        <v>46209</v>
      </c>
      <c r="B24" t="s">
        <v>38</v>
      </c>
      <c r="C24" t="s">
        <v>21</v>
      </c>
      <c r="D24" t="s">
        <v>44</v>
      </c>
      <c r="E24">
        <v>240</v>
      </c>
      <c r="H24" s="1">
        <v>46209</v>
      </c>
      <c r="I24" t="s">
        <v>38</v>
      </c>
      <c r="J24" t="s">
        <v>21</v>
      </c>
      <c r="K24" t="s">
        <v>44</v>
      </c>
      <c r="L24">
        <v>240</v>
      </c>
      <c r="M24">
        <f t="shared" si="0"/>
        <v>1</v>
      </c>
      <c r="N24">
        <f t="shared" si="1"/>
        <v>1</v>
      </c>
    </row>
    <row r="25" spans="1:14" x14ac:dyDescent="0.3">
      <c r="A25" s="1">
        <v>46209</v>
      </c>
      <c r="B25" t="s">
        <v>51</v>
      </c>
      <c r="C25" t="s">
        <v>25</v>
      </c>
      <c r="D25" t="s">
        <v>26</v>
      </c>
      <c r="E25">
        <v>116.28</v>
      </c>
      <c r="H25" s="1">
        <v>46209</v>
      </c>
      <c r="I25" t="s">
        <v>88</v>
      </c>
      <c r="J25" t="s">
        <v>25</v>
      </c>
      <c r="K25" t="s">
        <v>26</v>
      </c>
      <c r="L25">
        <v>116.28</v>
      </c>
      <c r="M25">
        <f t="shared" si="0"/>
        <v>1</v>
      </c>
      <c r="N25">
        <f t="shared" si="1"/>
        <v>0</v>
      </c>
    </row>
    <row r="26" spans="1:14" x14ac:dyDescent="0.3">
      <c r="A26" s="1">
        <v>46209</v>
      </c>
      <c r="B26" t="s">
        <v>52</v>
      </c>
      <c r="C26" t="s">
        <v>25</v>
      </c>
      <c r="D26" t="s">
        <v>46</v>
      </c>
      <c r="E26">
        <v>105.93</v>
      </c>
      <c r="H26" s="1">
        <v>46209</v>
      </c>
      <c r="I26" t="s">
        <v>52</v>
      </c>
      <c r="J26" t="s">
        <v>25</v>
      </c>
      <c r="K26" t="s">
        <v>46</v>
      </c>
      <c r="L26">
        <v>105.93</v>
      </c>
      <c r="M26">
        <f t="shared" si="0"/>
        <v>1</v>
      </c>
      <c r="N26">
        <f t="shared" si="1"/>
        <v>1</v>
      </c>
    </row>
    <row r="27" spans="1:14" x14ac:dyDescent="0.3">
      <c r="A27" s="1">
        <v>46209</v>
      </c>
      <c r="B27" t="s">
        <v>35</v>
      </c>
      <c r="C27" t="s">
        <v>21</v>
      </c>
      <c r="D27" t="s">
        <v>34</v>
      </c>
      <c r="E27">
        <v>220</v>
      </c>
      <c r="H27" s="1">
        <v>46209</v>
      </c>
      <c r="I27" t="s">
        <v>35</v>
      </c>
      <c r="J27" t="s">
        <v>21</v>
      </c>
      <c r="K27" t="s">
        <v>34</v>
      </c>
      <c r="L27">
        <v>220</v>
      </c>
      <c r="M27">
        <f t="shared" si="0"/>
        <v>1</v>
      </c>
      <c r="N27">
        <f t="shared" si="1"/>
        <v>1</v>
      </c>
    </row>
    <row r="28" spans="1:14" x14ac:dyDescent="0.3">
      <c r="A28" s="2">
        <v>46209</v>
      </c>
      <c r="B28" s="3" t="s">
        <v>41</v>
      </c>
      <c r="C28" s="3" t="s">
        <v>21</v>
      </c>
      <c r="D28" s="3" t="s">
        <v>47</v>
      </c>
      <c r="E28" s="3">
        <v>200</v>
      </c>
      <c r="F28" s="3"/>
      <c r="H28" s="1">
        <v>46209</v>
      </c>
      <c r="I28" t="s">
        <v>89</v>
      </c>
      <c r="J28" t="s">
        <v>21</v>
      </c>
      <c r="K28" t="s">
        <v>47</v>
      </c>
      <c r="L28">
        <v>200</v>
      </c>
      <c r="M28">
        <f t="shared" si="0"/>
        <v>1</v>
      </c>
      <c r="N28">
        <f t="shared" si="1"/>
        <v>0</v>
      </c>
    </row>
    <row r="29" spans="1:14" x14ac:dyDescent="0.3">
      <c r="A29" s="1">
        <v>46211</v>
      </c>
      <c r="B29" t="s">
        <v>64</v>
      </c>
      <c r="C29" t="s">
        <v>21</v>
      </c>
      <c r="D29" t="s">
        <v>65</v>
      </c>
      <c r="E29">
        <v>300</v>
      </c>
      <c r="H29" s="1">
        <v>46211</v>
      </c>
      <c r="I29" t="s">
        <v>64</v>
      </c>
      <c r="J29" t="s">
        <v>21</v>
      </c>
      <c r="K29" t="s">
        <v>65</v>
      </c>
      <c r="L29">
        <v>300</v>
      </c>
      <c r="M29">
        <f t="shared" si="0"/>
        <v>1</v>
      </c>
      <c r="N29">
        <f t="shared" si="1"/>
        <v>1</v>
      </c>
    </row>
    <row r="30" spans="1:14" x14ac:dyDescent="0.3">
      <c r="A30" s="1">
        <v>46211</v>
      </c>
      <c r="B30" t="s">
        <v>62</v>
      </c>
      <c r="C30" t="s">
        <v>21</v>
      </c>
      <c r="D30" t="s">
        <v>22</v>
      </c>
      <c r="E30">
        <v>240.05</v>
      </c>
      <c r="H30" s="1">
        <v>46211</v>
      </c>
      <c r="I30" t="s">
        <v>62</v>
      </c>
      <c r="J30" t="s">
        <v>21</v>
      </c>
      <c r="K30" t="s">
        <v>22</v>
      </c>
      <c r="L30">
        <v>240.05</v>
      </c>
      <c r="M30">
        <f t="shared" si="0"/>
        <v>1</v>
      </c>
      <c r="N30">
        <f t="shared" si="1"/>
        <v>1</v>
      </c>
    </row>
    <row r="31" spans="1:14" x14ac:dyDescent="0.3">
      <c r="A31" s="1">
        <v>46211</v>
      </c>
      <c r="B31" t="s">
        <v>40</v>
      </c>
      <c r="C31" t="s">
        <v>21</v>
      </c>
      <c r="D31" t="s">
        <v>23</v>
      </c>
      <c r="E31">
        <v>296.17</v>
      </c>
      <c r="H31" s="1">
        <v>46211</v>
      </c>
      <c r="I31" t="s">
        <v>243</v>
      </c>
      <c r="J31" t="s">
        <v>21</v>
      </c>
      <c r="K31" t="s">
        <v>23</v>
      </c>
      <c r="L31">
        <v>296.17</v>
      </c>
      <c r="M31">
        <f t="shared" si="0"/>
        <v>1</v>
      </c>
      <c r="N31">
        <f t="shared" si="1"/>
        <v>0</v>
      </c>
    </row>
    <row r="32" spans="1:14" x14ac:dyDescent="0.3">
      <c r="A32" s="1">
        <v>46211</v>
      </c>
      <c r="B32" t="s">
        <v>66</v>
      </c>
      <c r="C32" t="s">
        <v>21</v>
      </c>
      <c r="D32" t="s">
        <v>67</v>
      </c>
      <c r="E32">
        <v>288</v>
      </c>
      <c r="H32" s="1">
        <v>46211</v>
      </c>
      <c r="I32" t="s">
        <v>218</v>
      </c>
      <c r="J32" t="s">
        <v>21</v>
      </c>
      <c r="K32" t="s">
        <v>67</v>
      </c>
      <c r="L32">
        <v>288</v>
      </c>
      <c r="M32">
        <f t="shared" si="0"/>
        <v>1</v>
      </c>
      <c r="N32">
        <f t="shared" si="1"/>
        <v>0</v>
      </c>
    </row>
    <row r="33" spans="1:14" x14ac:dyDescent="0.3">
      <c r="A33" s="1">
        <v>46211</v>
      </c>
      <c r="B33" t="s">
        <v>68</v>
      </c>
      <c r="C33" t="s">
        <v>21</v>
      </c>
      <c r="D33" t="s">
        <v>27</v>
      </c>
      <c r="E33">
        <v>350</v>
      </c>
      <c r="H33" s="1">
        <v>46211</v>
      </c>
      <c r="I33" t="s">
        <v>68</v>
      </c>
      <c r="J33" t="s">
        <v>21</v>
      </c>
      <c r="K33" t="s">
        <v>27</v>
      </c>
      <c r="L33">
        <v>350</v>
      </c>
      <c r="M33">
        <f t="shared" si="0"/>
        <v>1</v>
      </c>
      <c r="N33">
        <f t="shared" si="1"/>
        <v>1</v>
      </c>
    </row>
    <row r="34" spans="1:14" x14ac:dyDescent="0.3">
      <c r="A34" s="1">
        <v>46211</v>
      </c>
      <c r="B34" t="s">
        <v>69</v>
      </c>
      <c r="C34" t="s">
        <v>21</v>
      </c>
      <c r="D34" t="s">
        <v>70</v>
      </c>
      <c r="E34">
        <v>217.34</v>
      </c>
      <c r="H34" s="1">
        <v>46211</v>
      </c>
      <c r="I34" t="s">
        <v>239</v>
      </c>
      <c r="J34" t="s">
        <v>21</v>
      </c>
      <c r="K34" t="s">
        <v>70</v>
      </c>
      <c r="L34">
        <v>217.34</v>
      </c>
      <c r="M34">
        <f t="shared" si="0"/>
        <v>1</v>
      </c>
      <c r="N34">
        <f t="shared" si="1"/>
        <v>0</v>
      </c>
    </row>
    <row r="35" spans="1:14" x14ac:dyDescent="0.3">
      <c r="A35" s="1">
        <v>46211</v>
      </c>
      <c r="B35" t="s">
        <v>71</v>
      </c>
      <c r="C35" t="s">
        <v>21</v>
      </c>
      <c r="D35" t="s">
        <v>72</v>
      </c>
      <c r="E35">
        <v>310.02</v>
      </c>
      <c r="H35" s="1">
        <v>46211</v>
      </c>
      <c r="I35" t="s">
        <v>231</v>
      </c>
      <c r="J35" t="s">
        <v>21</v>
      </c>
      <c r="K35" t="s">
        <v>72</v>
      </c>
      <c r="L35">
        <v>310.02</v>
      </c>
      <c r="M35">
        <f t="shared" si="0"/>
        <v>1</v>
      </c>
      <c r="N35">
        <f t="shared" si="1"/>
        <v>0</v>
      </c>
    </row>
    <row r="36" spans="1:14" x14ac:dyDescent="0.3">
      <c r="A36" s="1">
        <v>46211</v>
      </c>
      <c r="B36" t="s">
        <v>73</v>
      </c>
      <c r="C36" t="s">
        <v>21</v>
      </c>
      <c r="D36" t="s">
        <v>74</v>
      </c>
      <c r="E36">
        <v>200</v>
      </c>
      <c r="H36" s="1">
        <v>46211</v>
      </c>
      <c r="I36" t="s">
        <v>73</v>
      </c>
      <c r="J36" t="s">
        <v>21</v>
      </c>
      <c r="K36" t="s">
        <v>74</v>
      </c>
      <c r="L36">
        <v>200</v>
      </c>
      <c r="M36">
        <f t="shared" si="0"/>
        <v>1</v>
      </c>
      <c r="N36">
        <f t="shared" si="1"/>
        <v>1</v>
      </c>
    </row>
    <row r="37" spans="1:14" x14ac:dyDescent="0.3">
      <c r="A37" s="1">
        <v>46211</v>
      </c>
      <c r="B37" t="s">
        <v>75</v>
      </c>
      <c r="C37" t="s">
        <v>25</v>
      </c>
      <c r="D37" t="s">
        <v>76</v>
      </c>
      <c r="E37">
        <v>356</v>
      </c>
      <c r="H37" s="1">
        <v>46211</v>
      </c>
      <c r="I37" t="s">
        <v>75</v>
      </c>
      <c r="J37" t="s">
        <v>25</v>
      </c>
      <c r="K37" t="s">
        <v>76</v>
      </c>
      <c r="L37">
        <v>356</v>
      </c>
      <c r="M37">
        <f t="shared" si="0"/>
        <v>1</v>
      </c>
      <c r="N37">
        <f t="shared" si="1"/>
        <v>1</v>
      </c>
    </row>
    <row r="38" spans="1:14" x14ac:dyDescent="0.3">
      <c r="A38" s="1">
        <v>46211</v>
      </c>
      <c r="B38" t="s">
        <v>77</v>
      </c>
      <c r="C38" t="s">
        <v>25</v>
      </c>
      <c r="D38" t="s">
        <v>32</v>
      </c>
      <c r="E38">
        <v>227</v>
      </c>
      <c r="H38" s="1">
        <v>46211</v>
      </c>
      <c r="I38" t="s">
        <v>77</v>
      </c>
      <c r="J38" t="s">
        <v>25</v>
      </c>
      <c r="K38" t="s">
        <v>32</v>
      </c>
      <c r="L38">
        <v>227</v>
      </c>
      <c r="M38">
        <f t="shared" si="0"/>
        <v>1</v>
      </c>
      <c r="N38">
        <f t="shared" si="1"/>
        <v>1</v>
      </c>
    </row>
    <row r="39" spans="1:14" x14ac:dyDescent="0.3">
      <c r="A39" s="1">
        <v>46211</v>
      </c>
      <c r="B39" t="s">
        <v>37</v>
      </c>
      <c r="C39" t="s">
        <v>21</v>
      </c>
      <c r="D39" t="s">
        <v>28</v>
      </c>
      <c r="E39">
        <v>312.02999999999997</v>
      </c>
      <c r="H39" s="1">
        <v>46211</v>
      </c>
      <c r="I39" t="s">
        <v>37</v>
      </c>
      <c r="J39" t="s">
        <v>21</v>
      </c>
      <c r="K39" t="s">
        <v>28</v>
      </c>
      <c r="L39">
        <v>312.02999999999997</v>
      </c>
      <c r="M39">
        <f t="shared" si="0"/>
        <v>1</v>
      </c>
      <c r="N39">
        <f t="shared" si="1"/>
        <v>1</v>
      </c>
    </row>
    <row r="40" spans="1:14" x14ac:dyDescent="0.3">
      <c r="A40" s="1">
        <v>46211</v>
      </c>
      <c r="B40" t="s">
        <v>78</v>
      </c>
      <c r="C40" t="s">
        <v>25</v>
      </c>
      <c r="D40" t="s">
        <v>179</v>
      </c>
      <c r="E40">
        <v>243.75</v>
      </c>
      <c r="H40" s="1">
        <v>46211</v>
      </c>
      <c r="I40" t="s">
        <v>78</v>
      </c>
      <c r="J40" t="s">
        <v>25</v>
      </c>
      <c r="K40" t="s">
        <v>179</v>
      </c>
      <c r="L40">
        <v>243.75</v>
      </c>
      <c r="M40">
        <f t="shared" si="0"/>
        <v>1</v>
      </c>
      <c r="N40">
        <f t="shared" si="1"/>
        <v>1</v>
      </c>
    </row>
    <row r="41" spans="1:14" x14ac:dyDescent="0.3">
      <c r="A41" s="1">
        <v>46211</v>
      </c>
      <c r="B41" t="s">
        <v>54</v>
      </c>
      <c r="C41" t="s">
        <v>21</v>
      </c>
      <c r="D41" t="s">
        <v>24</v>
      </c>
      <c r="E41">
        <v>197</v>
      </c>
      <c r="H41" s="1">
        <v>46211</v>
      </c>
      <c r="I41" t="s">
        <v>233</v>
      </c>
      <c r="J41" t="s">
        <v>21</v>
      </c>
      <c r="K41" t="s">
        <v>24</v>
      </c>
      <c r="L41">
        <v>197</v>
      </c>
      <c r="M41">
        <f t="shared" si="0"/>
        <v>1</v>
      </c>
      <c r="N41">
        <f t="shared" si="1"/>
        <v>0</v>
      </c>
    </row>
    <row r="42" spans="1:14" x14ac:dyDescent="0.3">
      <c r="A42" s="1">
        <v>46211</v>
      </c>
      <c r="B42" t="s">
        <v>80</v>
      </c>
      <c r="C42" t="s">
        <v>25</v>
      </c>
      <c r="D42" t="s">
        <v>33</v>
      </c>
      <c r="E42">
        <v>179.49</v>
      </c>
      <c r="H42" s="1">
        <v>46211</v>
      </c>
      <c r="I42" t="s">
        <v>80</v>
      </c>
      <c r="J42" t="s">
        <v>25</v>
      </c>
      <c r="K42" t="s">
        <v>33</v>
      </c>
      <c r="L42">
        <v>179.49</v>
      </c>
      <c r="M42">
        <f t="shared" si="0"/>
        <v>1</v>
      </c>
      <c r="N42">
        <f t="shared" si="1"/>
        <v>1</v>
      </c>
    </row>
    <row r="43" spans="1:14" x14ac:dyDescent="0.3">
      <c r="A43" s="1">
        <v>46211</v>
      </c>
      <c r="B43" t="s">
        <v>81</v>
      </c>
      <c r="C43" t="s">
        <v>21</v>
      </c>
      <c r="D43" t="s">
        <v>82</v>
      </c>
      <c r="E43">
        <v>310.02999999999997</v>
      </c>
      <c r="H43" s="1">
        <v>46211</v>
      </c>
      <c r="I43" t="s">
        <v>81</v>
      </c>
      <c r="J43" t="s">
        <v>21</v>
      </c>
      <c r="K43" t="s">
        <v>82</v>
      </c>
      <c r="L43">
        <v>310.02999999999997</v>
      </c>
      <c r="M43">
        <f t="shared" si="0"/>
        <v>1</v>
      </c>
      <c r="N43">
        <f t="shared" si="1"/>
        <v>1</v>
      </c>
    </row>
    <row r="44" spans="1:14" x14ac:dyDescent="0.3">
      <c r="A44" s="1">
        <v>46211</v>
      </c>
      <c r="B44" t="s">
        <v>83</v>
      </c>
      <c r="C44" t="s">
        <v>21</v>
      </c>
      <c r="D44" t="s">
        <v>152</v>
      </c>
      <c r="E44">
        <v>350</v>
      </c>
      <c r="H44" s="1">
        <v>46211</v>
      </c>
      <c r="I44" t="s">
        <v>229</v>
      </c>
      <c r="J44" t="s">
        <v>21</v>
      </c>
      <c r="K44" t="s">
        <v>152</v>
      </c>
      <c r="L44">
        <v>350</v>
      </c>
      <c r="M44">
        <f t="shared" si="0"/>
        <v>1</v>
      </c>
      <c r="N44">
        <f t="shared" si="1"/>
        <v>0</v>
      </c>
    </row>
    <row r="45" spans="1:14" x14ac:dyDescent="0.3">
      <c r="A45" s="2">
        <v>46211</v>
      </c>
      <c r="B45" s="3" t="s">
        <v>84</v>
      </c>
      <c r="C45" s="3" t="s">
        <v>21</v>
      </c>
      <c r="D45" s="3" t="s">
        <v>175</v>
      </c>
      <c r="E45" s="3">
        <v>339.48</v>
      </c>
      <c r="F45" s="3"/>
      <c r="H45" s="1">
        <v>46211</v>
      </c>
      <c r="I45" t="s">
        <v>84</v>
      </c>
      <c r="J45" t="s">
        <v>21</v>
      </c>
      <c r="K45" t="s">
        <v>175</v>
      </c>
      <c r="L45">
        <v>339.48</v>
      </c>
      <c r="M45">
        <f t="shared" si="0"/>
        <v>1</v>
      </c>
      <c r="N45">
        <f t="shared" si="1"/>
        <v>1</v>
      </c>
    </row>
    <row r="46" spans="1:14" x14ac:dyDescent="0.3">
      <c r="A46" s="1">
        <v>46212</v>
      </c>
      <c r="B46" t="s">
        <v>85</v>
      </c>
      <c r="C46" t="s">
        <v>21</v>
      </c>
      <c r="D46" t="s">
        <v>86</v>
      </c>
      <c r="E46">
        <v>293</v>
      </c>
      <c r="H46" s="1">
        <v>46212</v>
      </c>
      <c r="I46" t="s">
        <v>85</v>
      </c>
      <c r="J46" t="s">
        <v>21</v>
      </c>
      <c r="K46" t="s">
        <v>86</v>
      </c>
      <c r="L46">
        <v>293</v>
      </c>
      <c r="M46">
        <f t="shared" si="0"/>
        <v>1</v>
      </c>
      <c r="N46">
        <f t="shared" si="1"/>
        <v>1</v>
      </c>
    </row>
    <row r="47" spans="1:14" x14ac:dyDescent="0.3">
      <c r="A47" s="1">
        <v>46212</v>
      </c>
      <c r="B47" t="s">
        <v>87</v>
      </c>
      <c r="C47" t="s">
        <v>21</v>
      </c>
      <c r="D47" t="s">
        <v>34</v>
      </c>
      <c r="E47">
        <v>252.22</v>
      </c>
      <c r="H47" s="1">
        <v>46212</v>
      </c>
      <c r="I47" t="s">
        <v>87</v>
      </c>
      <c r="J47" t="s">
        <v>21</v>
      </c>
      <c r="K47" t="s">
        <v>34</v>
      </c>
      <c r="L47">
        <v>252.22</v>
      </c>
      <c r="M47">
        <f t="shared" si="0"/>
        <v>1</v>
      </c>
      <c r="N47">
        <f t="shared" si="1"/>
        <v>1</v>
      </c>
    </row>
    <row r="48" spans="1:14" x14ac:dyDescent="0.3">
      <c r="A48" s="1">
        <v>46212</v>
      </c>
      <c r="B48" t="s">
        <v>88</v>
      </c>
      <c r="C48" t="s">
        <v>25</v>
      </c>
      <c r="D48" t="s">
        <v>26</v>
      </c>
      <c r="E48">
        <v>159.51</v>
      </c>
      <c r="H48" s="1">
        <v>46212</v>
      </c>
      <c r="I48" t="s">
        <v>88</v>
      </c>
      <c r="J48" t="s">
        <v>25</v>
      </c>
      <c r="K48" t="s">
        <v>26</v>
      </c>
      <c r="L48">
        <v>159.51</v>
      </c>
      <c r="M48">
        <f t="shared" si="0"/>
        <v>1</v>
      </c>
      <c r="N48">
        <f t="shared" si="1"/>
        <v>1</v>
      </c>
    </row>
    <row r="49" spans="1:14" x14ac:dyDescent="0.3">
      <c r="A49" s="1">
        <v>46212</v>
      </c>
      <c r="B49" t="s">
        <v>89</v>
      </c>
      <c r="C49" t="s">
        <v>21</v>
      </c>
      <c r="D49" t="s">
        <v>47</v>
      </c>
      <c r="E49">
        <v>307.2</v>
      </c>
      <c r="H49" s="1">
        <v>46212</v>
      </c>
      <c r="I49" t="s">
        <v>89</v>
      </c>
      <c r="J49" t="s">
        <v>21</v>
      </c>
      <c r="K49" t="s">
        <v>47</v>
      </c>
      <c r="L49">
        <v>307.2</v>
      </c>
      <c r="M49">
        <f t="shared" si="0"/>
        <v>1</v>
      </c>
      <c r="N49">
        <f t="shared" si="1"/>
        <v>1</v>
      </c>
    </row>
    <row r="50" spans="1:14" x14ac:dyDescent="0.3">
      <c r="A50" s="1">
        <v>46212</v>
      </c>
      <c r="B50" t="s">
        <v>75</v>
      </c>
      <c r="C50" t="s">
        <v>25</v>
      </c>
      <c r="D50" t="s">
        <v>76</v>
      </c>
      <c r="E50">
        <v>170</v>
      </c>
      <c r="H50" s="1">
        <v>46212</v>
      </c>
      <c r="I50" t="s">
        <v>75</v>
      </c>
      <c r="J50" t="s">
        <v>25</v>
      </c>
      <c r="K50" t="s">
        <v>76</v>
      </c>
      <c r="L50">
        <v>170</v>
      </c>
      <c r="M50">
        <f t="shared" si="0"/>
        <v>1</v>
      </c>
      <c r="N50">
        <f t="shared" si="1"/>
        <v>1</v>
      </c>
    </row>
    <row r="51" spans="1:14" x14ac:dyDescent="0.3">
      <c r="A51" s="1">
        <v>46212</v>
      </c>
      <c r="B51" t="s">
        <v>39</v>
      </c>
      <c r="C51" t="s">
        <v>25</v>
      </c>
      <c r="D51" t="s">
        <v>46</v>
      </c>
      <c r="E51">
        <v>155.91</v>
      </c>
      <c r="H51" s="1">
        <v>46212</v>
      </c>
      <c r="I51" t="s">
        <v>225</v>
      </c>
      <c r="J51" t="s">
        <v>25</v>
      </c>
      <c r="K51" t="s">
        <v>46</v>
      </c>
      <c r="L51">
        <v>155.91</v>
      </c>
      <c r="M51">
        <f t="shared" si="0"/>
        <v>1</v>
      </c>
      <c r="N51">
        <f t="shared" si="1"/>
        <v>0</v>
      </c>
    </row>
    <row r="52" spans="1:14" x14ac:dyDescent="0.3">
      <c r="A52" s="1">
        <v>46212</v>
      </c>
      <c r="B52" t="s">
        <v>50</v>
      </c>
      <c r="C52" t="s">
        <v>25</v>
      </c>
      <c r="D52" t="s">
        <v>58</v>
      </c>
      <c r="E52">
        <v>300</v>
      </c>
      <c r="H52" s="1">
        <v>46212</v>
      </c>
      <c r="I52" t="s">
        <v>230</v>
      </c>
      <c r="J52" t="s">
        <v>25</v>
      </c>
      <c r="K52" t="s">
        <v>58</v>
      </c>
      <c r="L52">
        <v>300</v>
      </c>
      <c r="M52">
        <f t="shared" si="0"/>
        <v>1</v>
      </c>
      <c r="N52">
        <f t="shared" si="1"/>
        <v>0</v>
      </c>
    </row>
    <row r="53" spans="1:14" x14ac:dyDescent="0.3">
      <c r="A53" s="1">
        <v>46212</v>
      </c>
      <c r="B53" t="s">
        <v>49</v>
      </c>
      <c r="C53" t="s">
        <v>25</v>
      </c>
      <c r="D53" t="s">
        <v>57</v>
      </c>
      <c r="E53">
        <v>260</v>
      </c>
      <c r="H53" s="1">
        <v>46212</v>
      </c>
      <c r="I53" t="s">
        <v>49</v>
      </c>
      <c r="J53" t="s">
        <v>25</v>
      </c>
      <c r="K53" t="s">
        <v>57</v>
      </c>
      <c r="L53">
        <v>260</v>
      </c>
      <c r="M53">
        <f t="shared" si="0"/>
        <v>1</v>
      </c>
      <c r="N53">
        <f t="shared" si="1"/>
        <v>1</v>
      </c>
    </row>
    <row r="54" spans="1:14" x14ac:dyDescent="0.3">
      <c r="A54" s="2">
        <v>46212</v>
      </c>
      <c r="B54" s="3" t="s">
        <v>42</v>
      </c>
      <c r="C54" s="3" t="s">
        <v>43</v>
      </c>
      <c r="D54" s="3" t="s">
        <v>48</v>
      </c>
      <c r="E54" s="3">
        <v>270</v>
      </c>
      <c r="F54" s="3"/>
      <c r="H54" s="1">
        <v>46212</v>
      </c>
      <c r="I54" t="s">
        <v>42</v>
      </c>
      <c r="J54" t="s">
        <v>43</v>
      </c>
      <c r="K54" t="s">
        <v>48</v>
      </c>
      <c r="L54">
        <v>270</v>
      </c>
      <c r="M54">
        <f t="shared" si="0"/>
        <v>1</v>
      </c>
      <c r="N54">
        <f t="shared" si="1"/>
        <v>1</v>
      </c>
    </row>
    <row r="55" spans="1:14" x14ac:dyDescent="0.3">
      <c r="A55" s="1">
        <v>46214</v>
      </c>
      <c r="B55" t="s">
        <v>180</v>
      </c>
      <c r="D55" t="s">
        <v>93</v>
      </c>
      <c r="E55">
        <v>180.02</v>
      </c>
      <c r="H55" s="1">
        <v>46214</v>
      </c>
      <c r="I55" t="s">
        <v>226</v>
      </c>
      <c r="K55" t="s">
        <v>93</v>
      </c>
      <c r="L55">
        <v>180.02</v>
      </c>
      <c r="M55">
        <f t="shared" si="0"/>
        <v>1</v>
      </c>
      <c r="N55">
        <f t="shared" si="1"/>
        <v>0</v>
      </c>
    </row>
    <row r="56" spans="1:14" x14ac:dyDescent="0.3">
      <c r="A56" s="1">
        <v>46214</v>
      </c>
      <c r="B56" s="27" t="str">
        <f>I56</f>
        <v>Кенталов</v>
      </c>
      <c r="D56" t="s">
        <v>158</v>
      </c>
      <c r="E56">
        <v>300</v>
      </c>
      <c r="H56" s="1">
        <v>46214</v>
      </c>
      <c r="I56" t="s">
        <v>224</v>
      </c>
      <c r="K56" t="s">
        <v>158</v>
      </c>
      <c r="L56">
        <v>300</v>
      </c>
      <c r="M56">
        <f t="shared" si="0"/>
        <v>1</v>
      </c>
      <c r="N56">
        <f t="shared" si="1"/>
        <v>1</v>
      </c>
    </row>
    <row r="57" spans="1:14" x14ac:dyDescent="0.3">
      <c r="A57" s="1">
        <v>46214</v>
      </c>
      <c r="B57" t="s">
        <v>181</v>
      </c>
      <c r="D57" t="s">
        <v>46</v>
      </c>
      <c r="E57">
        <v>342.24</v>
      </c>
      <c r="H57" s="1">
        <v>46214</v>
      </c>
      <c r="I57" t="s">
        <v>225</v>
      </c>
      <c r="J57" t="s">
        <v>25</v>
      </c>
      <c r="K57" t="s">
        <v>46</v>
      </c>
      <c r="L57">
        <v>342.24</v>
      </c>
      <c r="M57">
        <f t="shared" si="0"/>
        <v>1</v>
      </c>
      <c r="N57">
        <f t="shared" si="1"/>
        <v>0</v>
      </c>
    </row>
    <row r="58" spans="1:14" x14ac:dyDescent="0.3">
      <c r="A58" s="1">
        <v>46214</v>
      </c>
      <c r="B58" t="s">
        <v>182</v>
      </c>
      <c r="D58" t="s">
        <v>157</v>
      </c>
      <c r="E58">
        <v>150</v>
      </c>
      <c r="H58" s="1">
        <v>46214</v>
      </c>
      <c r="I58" t="s">
        <v>232</v>
      </c>
      <c r="K58" t="s">
        <v>157</v>
      </c>
      <c r="L58">
        <v>150</v>
      </c>
      <c r="M58">
        <f t="shared" si="0"/>
        <v>1</v>
      </c>
      <c r="N58">
        <f t="shared" si="1"/>
        <v>0</v>
      </c>
    </row>
    <row r="59" spans="1:14" x14ac:dyDescent="0.3">
      <c r="A59" s="1">
        <v>46214</v>
      </c>
      <c r="B59" t="s">
        <v>84</v>
      </c>
      <c r="D59" t="s">
        <v>175</v>
      </c>
      <c r="E59">
        <v>320</v>
      </c>
      <c r="H59" s="1">
        <v>46214</v>
      </c>
      <c r="I59" t="s">
        <v>84</v>
      </c>
      <c r="J59" t="s">
        <v>21</v>
      </c>
      <c r="K59" t="s">
        <v>175</v>
      </c>
      <c r="L59">
        <v>320</v>
      </c>
      <c r="M59">
        <f t="shared" si="0"/>
        <v>1</v>
      </c>
      <c r="N59">
        <f t="shared" si="1"/>
        <v>1</v>
      </c>
    </row>
    <row r="60" spans="1:14" x14ac:dyDescent="0.3">
      <c r="A60" s="1">
        <v>46214</v>
      </c>
      <c r="B60" t="s">
        <v>183</v>
      </c>
      <c r="D60" t="s">
        <v>74</v>
      </c>
      <c r="E60">
        <v>310</v>
      </c>
      <c r="H60" s="1">
        <v>46214</v>
      </c>
      <c r="I60" t="s">
        <v>244</v>
      </c>
      <c r="J60" t="s">
        <v>21</v>
      </c>
      <c r="K60" t="s">
        <v>74</v>
      </c>
      <c r="L60">
        <v>310</v>
      </c>
      <c r="M60">
        <f t="shared" si="0"/>
        <v>1</v>
      </c>
      <c r="N60">
        <f t="shared" si="1"/>
        <v>0</v>
      </c>
    </row>
    <row r="61" spans="1:14" x14ac:dyDescent="0.3">
      <c r="A61" s="1">
        <v>46214</v>
      </c>
      <c r="B61" s="27" t="str">
        <f t="shared" ref="B61" si="2">I61</f>
        <v>Dzhumagulov</v>
      </c>
      <c r="D61" t="s">
        <v>32</v>
      </c>
      <c r="E61">
        <v>269</v>
      </c>
      <c r="H61" s="1">
        <v>46214</v>
      </c>
      <c r="I61" t="s">
        <v>77</v>
      </c>
      <c r="J61" t="s">
        <v>25</v>
      </c>
      <c r="K61" t="s">
        <v>32</v>
      </c>
      <c r="L61">
        <v>269</v>
      </c>
      <c r="M61">
        <f t="shared" si="0"/>
        <v>1</v>
      </c>
      <c r="N61">
        <f t="shared" si="1"/>
        <v>1</v>
      </c>
    </row>
    <row r="62" spans="1:14" x14ac:dyDescent="0.3">
      <c r="A62" s="1">
        <v>46214</v>
      </c>
      <c r="D62" t="s">
        <v>123</v>
      </c>
      <c r="E62">
        <v>350</v>
      </c>
      <c r="H62" s="1">
        <v>46214</v>
      </c>
      <c r="I62" t="s">
        <v>242</v>
      </c>
      <c r="K62" t="s">
        <v>123</v>
      </c>
      <c r="L62">
        <v>350</v>
      </c>
      <c r="M62">
        <f t="shared" si="0"/>
        <v>1</v>
      </c>
      <c r="N62">
        <f t="shared" si="1"/>
        <v>0</v>
      </c>
    </row>
    <row r="63" spans="1:14" x14ac:dyDescent="0.3">
      <c r="A63" s="1">
        <v>46214</v>
      </c>
      <c r="B63" t="s">
        <v>83</v>
      </c>
      <c r="C63" t="s">
        <v>21</v>
      </c>
      <c r="D63" t="s">
        <v>152</v>
      </c>
      <c r="E63">
        <v>300</v>
      </c>
      <c r="H63" s="1">
        <v>46214</v>
      </c>
      <c r="I63" t="s">
        <v>229</v>
      </c>
      <c r="J63" t="s">
        <v>21</v>
      </c>
      <c r="K63" t="s">
        <v>152</v>
      </c>
      <c r="L63">
        <v>300</v>
      </c>
      <c r="M63">
        <f t="shared" si="0"/>
        <v>1</v>
      </c>
      <c r="N63">
        <f t="shared" si="1"/>
        <v>0</v>
      </c>
    </row>
    <row r="64" spans="1:14" x14ac:dyDescent="0.3">
      <c r="A64" s="1">
        <v>46214</v>
      </c>
      <c r="D64" t="s">
        <v>91</v>
      </c>
      <c r="E64">
        <v>283</v>
      </c>
      <c r="H64" s="1">
        <v>46214</v>
      </c>
      <c r="K64" t="s">
        <v>91</v>
      </c>
      <c r="L64">
        <v>283</v>
      </c>
      <c r="M64">
        <f t="shared" si="0"/>
        <v>1</v>
      </c>
      <c r="N64">
        <f t="shared" si="1"/>
        <v>1</v>
      </c>
    </row>
    <row r="65" spans="1:14" x14ac:dyDescent="0.3">
      <c r="A65" s="1">
        <v>46214</v>
      </c>
      <c r="D65" t="s">
        <v>92</v>
      </c>
      <c r="E65">
        <v>345</v>
      </c>
      <c r="H65" s="1">
        <v>46214</v>
      </c>
      <c r="K65" t="s">
        <v>92</v>
      </c>
      <c r="L65">
        <v>345</v>
      </c>
      <c r="M65">
        <f t="shared" si="0"/>
        <v>1</v>
      </c>
      <c r="N65">
        <f t="shared" si="1"/>
        <v>1</v>
      </c>
    </row>
    <row r="66" spans="1:14" x14ac:dyDescent="0.3">
      <c r="A66" s="1">
        <v>46214</v>
      </c>
      <c r="D66" t="s">
        <v>44</v>
      </c>
      <c r="E66">
        <v>250</v>
      </c>
      <c r="H66" s="1">
        <v>46214</v>
      </c>
      <c r="I66" t="s">
        <v>38</v>
      </c>
      <c r="J66" t="s">
        <v>21</v>
      </c>
      <c r="K66" t="s">
        <v>44</v>
      </c>
      <c r="L66">
        <v>250</v>
      </c>
      <c r="M66">
        <f t="shared" si="0"/>
        <v>1</v>
      </c>
      <c r="N66">
        <f t="shared" si="1"/>
        <v>0</v>
      </c>
    </row>
    <row r="67" spans="1:14" x14ac:dyDescent="0.3">
      <c r="A67" s="1">
        <v>46214</v>
      </c>
      <c r="D67" t="s">
        <v>61</v>
      </c>
      <c r="E67">
        <v>300</v>
      </c>
      <c r="H67" s="1">
        <v>46214</v>
      </c>
      <c r="I67" t="s">
        <v>56</v>
      </c>
      <c r="J67" t="s">
        <v>21</v>
      </c>
      <c r="K67" t="s">
        <v>61</v>
      </c>
      <c r="L67">
        <v>300</v>
      </c>
      <c r="M67">
        <f t="shared" ref="M67:M130" si="3">IF(K67=D67,1,0)</f>
        <v>1</v>
      </c>
      <c r="N67">
        <f t="shared" ref="N67:N130" si="4">IF(I67=B67,1,0)</f>
        <v>0</v>
      </c>
    </row>
    <row r="68" spans="1:14" x14ac:dyDescent="0.3">
      <c r="A68" s="1">
        <v>46214</v>
      </c>
      <c r="D68" t="s">
        <v>118</v>
      </c>
      <c r="E68">
        <v>300</v>
      </c>
      <c r="H68" s="1">
        <v>46214</v>
      </c>
      <c r="K68" t="s">
        <v>118</v>
      </c>
      <c r="L68">
        <v>300</v>
      </c>
      <c r="M68">
        <f t="shared" si="3"/>
        <v>1</v>
      </c>
      <c r="N68">
        <f t="shared" si="4"/>
        <v>1</v>
      </c>
    </row>
    <row r="69" spans="1:14" x14ac:dyDescent="0.3">
      <c r="A69" s="1">
        <v>46214</v>
      </c>
      <c r="D69" t="s">
        <v>23</v>
      </c>
      <c r="E69">
        <v>158.55000000000001</v>
      </c>
      <c r="H69" s="1">
        <v>46214</v>
      </c>
      <c r="I69" t="s">
        <v>243</v>
      </c>
      <c r="J69" t="s">
        <v>21</v>
      </c>
      <c r="K69" t="s">
        <v>23</v>
      </c>
      <c r="L69">
        <v>158.55000000000001</v>
      </c>
      <c r="M69">
        <f t="shared" si="3"/>
        <v>1</v>
      </c>
      <c r="N69">
        <f t="shared" si="4"/>
        <v>0</v>
      </c>
    </row>
    <row r="70" spans="1:14" x14ac:dyDescent="0.3">
      <c r="A70" s="1">
        <v>46214</v>
      </c>
      <c r="D70" t="s">
        <v>70</v>
      </c>
      <c r="E70">
        <v>131.01</v>
      </c>
      <c r="H70" s="1">
        <v>46214</v>
      </c>
      <c r="I70" t="s">
        <v>239</v>
      </c>
      <c r="J70" t="s">
        <v>21</v>
      </c>
      <c r="K70" t="s">
        <v>70</v>
      </c>
      <c r="L70">
        <v>131.01</v>
      </c>
      <c r="M70">
        <f t="shared" si="3"/>
        <v>1</v>
      </c>
      <c r="N70">
        <f t="shared" si="4"/>
        <v>0</v>
      </c>
    </row>
    <row r="71" spans="1:14" x14ac:dyDescent="0.3">
      <c r="A71" s="1">
        <v>46214</v>
      </c>
      <c r="D71" t="s">
        <v>48</v>
      </c>
      <c r="E71">
        <v>130</v>
      </c>
      <c r="H71" s="1">
        <v>46214</v>
      </c>
      <c r="I71" t="s">
        <v>42</v>
      </c>
      <c r="J71" t="s">
        <v>43</v>
      </c>
      <c r="K71" t="s">
        <v>48</v>
      </c>
      <c r="L71">
        <v>130</v>
      </c>
      <c r="M71">
        <f t="shared" si="3"/>
        <v>1</v>
      </c>
      <c r="N71">
        <f t="shared" si="4"/>
        <v>0</v>
      </c>
    </row>
    <row r="72" spans="1:14" x14ac:dyDescent="0.3">
      <c r="A72" s="1">
        <v>46215</v>
      </c>
      <c r="B72" s="27" t="str">
        <f t="shared" ref="B72:B94" si="5">I72</f>
        <v>Шотыбаев</v>
      </c>
      <c r="D72" t="s">
        <v>46</v>
      </c>
      <c r="E72">
        <v>145.08000000000001</v>
      </c>
      <c r="H72" s="1">
        <v>46215</v>
      </c>
      <c r="I72" t="s">
        <v>225</v>
      </c>
      <c r="J72" t="s">
        <v>25</v>
      </c>
      <c r="K72" t="s">
        <v>46</v>
      </c>
      <c r="L72">
        <v>145.08000000000001</v>
      </c>
      <c r="M72">
        <f t="shared" si="3"/>
        <v>1</v>
      </c>
      <c r="N72">
        <f t="shared" si="4"/>
        <v>1</v>
      </c>
    </row>
    <row r="73" spans="1:14" x14ac:dyDescent="0.3">
      <c r="A73" s="1">
        <v>46215</v>
      </c>
      <c r="B73" s="27" t="str">
        <f t="shared" si="5"/>
        <v>Куандыков</v>
      </c>
      <c r="D73" t="s">
        <v>93</v>
      </c>
      <c r="E73">
        <v>170</v>
      </c>
      <c r="H73" s="1">
        <v>46215</v>
      </c>
      <c r="I73" t="s">
        <v>226</v>
      </c>
      <c r="K73" t="s">
        <v>93</v>
      </c>
      <c r="L73">
        <v>170</v>
      </c>
      <c r="M73">
        <f t="shared" si="3"/>
        <v>1</v>
      </c>
      <c r="N73">
        <f t="shared" si="4"/>
        <v>1</v>
      </c>
    </row>
    <row r="74" spans="1:14" x14ac:dyDescent="0.3">
      <c r="A74" s="1">
        <v>46215</v>
      </c>
      <c r="B74" s="27" t="str">
        <f t="shared" si="5"/>
        <v>Саукебаев</v>
      </c>
      <c r="D74" t="s">
        <v>82</v>
      </c>
      <c r="E74">
        <v>277</v>
      </c>
      <c r="H74" s="1">
        <v>46215</v>
      </c>
      <c r="I74" t="s">
        <v>227</v>
      </c>
      <c r="J74" t="s">
        <v>21</v>
      </c>
      <c r="K74" t="s">
        <v>82</v>
      </c>
      <c r="L74">
        <v>277</v>
      </c>
      <c r="M74">
        <f t="shared" si="3"/>
        <v>1</v>
      </c>
      <c r="N74">
        <f t="shared" si="4"/>
        <v>1</v>
      </c>
    </row>
    <row r="75" spans="1:14" x14ac:dyDescent="0.3">
      <c r="A75" s="1">
        <v>46215</v>
      </c>
      <c r="B75" s="27" t="str">
        <f t="shared" si="5"/>
        <v>Турния</v>
      </c>
      <c r="D75" t="s">
        <v>169</v>
      </c>
      <c r="E75">
        <v>300</v>
      </c>
      <c r="H75" s="1">
        <v>46215</v>
      </c>
      <c r="I75" t="s">
        <v>228</v>
      </c>
      <c r="K75" t="s">
        <v>169</v>
      </c>
      <c r="L75">
        <v>300</v>
      </c>
      <c r="M75">
        <f t="shared" si="3"/>
        <v>1</v>
      </c>
      <c r="N75">
        <f t="shared" si="4"/>
        <v>1</v>
      </c>
    </row>
    <row r="76" spans="1:14" x14ac:dyDescent="0.3">
      <c r="A76" s="1">
        <v>46215</v>
      </c>
      <c r="B76" s="27" t="str">
        <f t="shared" si="5"/>
        <v>Данияров</v>
      </c>
      <c r="D76" t="s">
        <v>47</v>
      </c>
      <c r="E76">
        <v>290.8</v>
      </c>
      <c r="H76" s="1">
        <v>46215</v>
      </c>
      <c r="I76" t="s">
        <v>89</v>
      </c>
      <c r="J76" t="s">
        <v>21</v>
      </c>
      <c r="K76" t="s">
        <v>47</v>
      </c>
      <c r="L76">
        <v>290.8</v>
      </c>
      <c r="M76">
        <f t="shared" si="3"/>
        <v>1</v>
      </c>
      <c r="N76">
        <f t="shared" si="4"/>
        <v>1</v>
      </c>
    </row>
    <row r="77" spans="1:14" x14ac:dyDescent="0.3">
      <c r="A77" s="1">
        <v>46215</v>
      </c>
      <c r="B77" s="27" t="str">
        <f t="shared" si="5"/>
        <v>Данаев</v>
      </c>
      <c r="D77" t="s">
        <v>74</v>
      </c>
      <c r="E77">
        <v>160</v>
      </c>
      <c r="H77" s="1">
        <v>46215</v>
      </c>
      <c r="I77" t="s">
        <v>244</v>
      </c>
      <c r="J77" t="s">
        <v>21</v>
      </c>
      <c r="K77" t="s">
        <v>74</v>
      </c>
      <c r="L77">
        <v>160</v>
      </c>
      <c r="M77">
        <f t="shared" si="3"/>
        <v>1</v>
      </c>
      <c r="N77">
        <f t="shared" si="4"/>
        <v>1</v>
      </c>
    </row>
    <row r="78" spans="1:14" x14ac:dyDescent="0.3">
      <c r="A78" s="1">
        <v>46215</v>
      </c>
      <c r="B78" s="27" t="str">
        <f t="shared" si="5"/>
        <v>Булгаев</v>
      </c>
      <c r="C78" t="s">
        <v>21</v>
      </c>
      <c r="D78" t="s">
        <v>152</v>
      </c>
      <c r="E78">
        <v>120</v>
      </c>
      <c r="H78" s="1">
        <v>46215</v>
      </c>
      <c r="I78" t="s">
        <v>229</v>
      </c>
      <c r="J78" t="s">
        <v>21</v>
      </c>
      <c r="K78" t="s">
        <v>152</v>
      </c>
      <c r="L78">
        <v>120</v>
      </c>
      <c r="M78">
        <f t="shared" si="3"/>
        <v>1</v>
      </c>
      <c r="N78">
        <f t="shared" si="4"/>
        <v>1</v>
      </c>
    </row>
    <row r="79" spans="1:14" x14ac:dyDescent="0.3">
      <c r="A79" s="1">
        <v>46215</v>
      </c>
      <c r="D79" t="s">
        <v>159</v>
      </c>
      <c r="E79">
        <v>200.2</v>
      </c>
      <c r="H79" s="1">
        <v>46215</v>
      </c>
      <c r="I79" t="s">
        <v>270</v>
      </c>
      <c r="K79" t="s">
        <v>159</v>
      </c>
      <c r="L79">
        <v>200.2</v>
      </c>
      <c r="M79">
        <f t="shared" si="3"/>
        <v>1</v>
      </c>
      <c r="N79">
        <f t="shared" si="4"/>
        <v>0</v>
      </c>
    </row>
    <row r="80" spans="1:14" x14ac:dyDescent="0.3">
      <c r="A80" s="1">
        <v>46215</v>
      </c>
      <c r="B80" s="27" t="str">
        <f t="shared" si="5"/>
        <v>Бейсенбаев</v>
      </c>
      <c r="D80" t="s">
        <v>58</v>
      </c>
      <c r="E80">
        <v>146</v>
      </c>
      <c r="H80" s="1">
        <v>46215</v>
      </c>
      <c r="I80" t="s">
        <v>230</v>
      </c>
      <c r="J80" t="s">
        <v>25</v>
      </c>
      <c r="K80" t="s">
        <v>58</v>
      </c>
      <c r="L80">
        <v>146</v>
      </c>
      <c r="M80">
        <f t="shared" si="3"/>
        <v>1</v>
      </c>
      <c r="N80">
        <f t="shared" si="4"/>
        <v>1</v>
      </c>
    </row>
    <row r="81" spans="1:14" x14ac:dyDescent="0.3">
      <c r="A81" s="1">
        <v>46215</v>
      </c>
      <c r="B81" s="27" t="str">
        <f t="shared" si="5"/>
        <v>Жинарь</v>
      </c>
      <c r="D81" t="s">
        <v>72</v>
      </c>
      <c r="E81">
        <v>237.01</v>
      </c>
      <c r="H81" s="1">
        <v>46215</v>
      </c>
      <c r="I81" t="s">
        <v>231</v>
      </c>
      <c r="J81" t="s">
        <v>21</v>
      </c>
      <c r="K81" t="s">
        <v>72</v>
      </c>
      <c r="L81">
        <v>237.01</v>
      </c>
      <c r="M81">
        <f t="shared" si="3"/>
        <v>1</v>
      </c>
      <c r="N81">
        <f t="shared" si="4"/>
        <v>1</v>
      </c>
    </row>
    <row r="82" spans="1:14" x14ac:dyDescent="0.3">
      <c r="A82" s="1">
        <v>46215</v>
      </c>
      <c r="B82" s="27" t="str">
        <f t="shared" si="5"/>
        <v>Байжанов</v>
      </c>
      <c r="D82" t="s">
        <v>164</v>
      </c>
      <c r="E82">
        <v>354.13</v>
      </c>
      <c r="H82" s="1">
        <v>46215</v>
      </c>
      <c r="I82" t="s">
        <v>269</v>
      </c>
      <c r="K82" t="s">
        <v>164</v>
      </c>
      <c r="L82">
        <v>354.13</v>
      </c>
      <c r="M82">
        <f t="shared" si="3"/>
        <v>1</v>
      </c>
      <c r="N82">
        <f t="shared" si="4"/>
        <v>1</v>
      </c>
    </row>
    <row r="83" spans="1:14" x14ac:dyDescent="0.3">
      <c r="A83" s="1">
        <v>46215</v>
      </c>
      <c r="B83" s="27" t="str">
        <f t="shared" si="5"/>
        <v>Saulebaev</v>
      </c>
      <c r="D83" t="s">
        <v>65</v>
      </c>
      <c r="E83">
        <v>320</v>
      </c>
      <c r="H83" s="1">
        <v>46215</v>
      </c>
      <c r="I83" t="s">
        <v>64</v>
      </c>
      <c r="J83" t="s">
        <v>21</v>
      </c>
      <c r="K83" t="s">
        <v>65</v>
      </c>
      <c r="L83">
        <v>320</v>
      </c>
      <c r="M83">
        <f t="shared" si="3"/>
        <v>1</v>
      </c>
      <c r="N83">
        <f t="shared" si="4"/>
        <v>1</v>
      </c>
    </row>
    <row r="84" spans="1:14" x14ac:dyDescent="0.3">
      <c r="A84" s="1">
        <v>46215</v>
      </c>
      <c r="B84" s="27" t="str">
        <f t="shared" si="5"/>
        <v>Атыбаев</v>
      </c>
      <c r="D84" t="s">
        <v>157</v>
      </c>
      <c r="E84">
        <v>150</v>
      </c>
      <c r="H84" s="1">
        <v>46215</v>
      </c>
      <c r="I84" t="s">
        <v>232</v>
      </c>
      <c r="K84" t="s">
        <v>157</v>
      </c>
      <c r="L84">
        <v>150</v>
      </c>
      <c r="M84">
        <f t="shared" si="3"/>
        <v>1</v>
      </c>
      <c r="N84">
        <f t="shared" si="4"/>
        <v>1</v>
      </c>
    </row>
    <row r="85" spans="1:14" x14ac:dyDescent="0.3">
      <c r="A85" s="1">
        <v>46215</v>
      </c>
      <c r="B85" s="27" t="str">
        <f t="shared" si="5"/>
        <v>Асанов</v>
      </c>
      <c r="D85" t="s">
        <v>86</v>
      </c>
      <c r="E85">
        <v>300</v>
      </c>
      <c r="H85" s="1">
        <v>46215</v>
      </c>
      <c r="I85" t="s">
        <v>85</v>
      </c>
      <c r="J85" t="s">
        <v>21</v>
      </c>
      <c r="K85" t="s">
        <v>86</v>
      </c>
      <c r="L85">
        <v>300</v>
      </c>
      <c r="M85">
        <f t="shared" si="3"/>
        <v>1</v>
      </c>
      <c r="N85">
        <f t="shared" si="4"/>
        <v>1</v>
      </c>
    </row>
    <row r="86" spans="1:14" x14ac:dyDescent="0.3">
      <c r="A86" s="1">
        <v>46215</v>
      </c>
      <c r="B86" s="27" t="str">
        <f t="shared" si="5"/>
        <v>Кенталов</v>
      </c>
      <c r="D86" t="s">
        <v>158</v>
      </c>
      <c r="E86">
        <v>150</v>
      </c>
      <c r="H86" s="1">
        <v>46215</v>
      </c>
      <c r="I86" t="s">
        <v>224</v>
      </c>
      <c r="K86" t="s">
        <v>158</v>
      </c>
      <c r="L86">
        <v>150</v>
      </c>
      <c r="M86">
        <f t="shared" si="3"/>
        <v>1</v>
      </c>
      <c r="N86">
        <f t="shared" si="4"/>
        <v>1</v>
      </c>
    </row>
    <row r="87" spans="1:14" x14ac:dyDescent="0.3">
      <c r="A87" s="1">
        <v>46215</v>
      </c>
      <c r="B87" s="27" t="str">
        <f t="shared" si="5"/>
        <v>Муханов</v>
      </c>
      <c r="D87" t="s">
        <v>24</v>
      </c>
      <c r="E87">
        <v>187.02</v>
      </c>
      <c r="H87" s="1">
        <v>46215</v>
      </c>
      <c r="I87" t="s">
        <v>233</v>
      </c>
      <c r="J87" t="s">
        <v>21</v>
      </c>
      <c r="K87" t="s">
        <v>24</v>
      </c>
      <c r="L87">
        <v>187.02</v>
      </c>
      <c r="M87">
        <f t="shared" si="3"/>
        <v>1</v>
      </c>
      <c r="N87">
        <f t="shared" si="4"/>
        <v>1</v>
      </c>
    </row>
    <row r="88" spans="1:14" x14ac:dyDescent="0.3">
      <c r="A88" s="1">
        <v>46215</v>
      </c>
      <c r="B88" s="27" t="str">
        <f t="shared" si="5"/>
        <v>Бауырханов</v>
      </c>
      <c r="D88" t="s">
        <v>32</v>
      </c>
      <c r="E88">
        <v>84</v>
      </c>
      <c r="H88" s="1">
        <v>46215</v>
      </c>
      <c r="I88" t="s">
        <v>234</v>
      </c>
      <c r="J88" t="s">
        <v>25</v>
      </c>
      <c r="K88" t="s">
        <v>32</v>
      </c>
      <c r="L88">
        <v>84</v>
      </c>
      <c r="M88">
        <f t="shared" si="3"/>
        <v>1</v>
      </c>
      <c r="N88">
        <f t="shared" si="4"/>
        <v>1</v>
      </c>
    </row>
    <row r="89" spans="1:14" x14ac:dyDescent="0.3">
      <c r="A89" s="1">
        <v>46215</v>
      </c>
      <c r="B89" t="s">
        <v>197</v>
      </c>
      <c r="D89" t="s">
        <v>166</v>
      </c>
      <c r="E89">
        <v>310</v>
      </c>
      <c r="H89" s="1">
        <v>46215</v>
      </c>
      <c r="I89" t="s">
        <v>235</v>
      </c>
      <c r="K89" t="s">
        <v>166</v>
      </c>
      <c r="L89">
        <v>310</v>
      </c>
      <c r="M89">
        <f t="shared" si="3"/>
        <v>1</v>
      </c>
      <c r="N89">
        <f t="shared" si="4"/>
        <v>0</v>
      </c>
    </row>
    <row r="90" spans="1:14" x14ac:dyDescent="0.3">
      <c r="A90" s="1">
        <v>46215</v>
      </c>
      <c r="B90" s="27" t="str">
        <f t="shared" si="5"/>
        <v>Ситинов</v>
      </c>
      <c r="D90" t="s">
        <v>165</v>
      </c>
      <c r="E90">
        <v>333.01</v>
      </c>
      <c r="H90" s="1">
        <v>46215</v>
      </c>
      <c r="I90" t="s">
        <v>236</v>
      </c>
      <c r="K90" t="s">
        <v>165</v>
      </c>
      <c r="L90">
        <v>333.01</v>
      </c>
      <c r="M90">
        <f t="shared" si="3"/>
        <v>1</v>
      </c>
      <c r="N90">
        <f t="shared" si="4"/>
        <v>1</v>
      </c>
    </row>
    <row r="91" spans="1:14" x14ac:dyDescent="0.3">
      <c r="A91" s="1">
        <v>46215</v>
      </c>
      <c r="D91" t="s">
        <v>162</v>
      </c>
      <c r="E91">
        <v>285.91000000000003</v>
      </c>
      <c r="H91" s="1">
        <v>46215</v>
      </c>
      <c r="I91" t="s">
        <v>272</v>
      </c>
      <c r="J91" t="s">
        <v>271</v>
      </c>
      <c r="K91" t="s">
        <v>162</v>
      </c>
      <c r="L91">
        <v>285.91000000000003</v>
      </c>
      <c r="M91">
        <f t="shared" si="3"/>
        <v>1</v>
      </c>
      <c r="N91">
        <f t="shared" si="4"/>
        <v>0</v>
      </c>
    </row>
    <row r="92" spans="1:14" x14ac:dyDescent="0.3">
      <c r="A92" s="1">
        <v>46215</v>
      </c>
      <c r="B92" s="27" t="str">
        <f t="shared" si="5"/>
        <v>Фырфа</v>
      </c>
      <c r="D92" t="s">
        <v>167</v>
      </c>
      <c r="E92">
        <v>300</v>
      </c>
      <c r="H92" s="1">
        <v>46215</v>
      </c>
      <c r="I92" t="s">
        <v>237</v>
      </c>
      <c r="K92" t="s">
        <v>167</v>
      </c>
      <c r="L92">
        <f>300+50</f>
        <v>350</v>
      </c>
      <c r="M92">
        <f t="shared" si="3"/>
        <v>1</v>
      </c>
      <c r="N92">
        <f t="shared" si="4"/>
        <v>1</v>
      </c>
    </row>
    <row r="93" spans="1:14" x14ac:dyDescent="0.3">
      <c r="A93" s="1">
        <v>46215</v>
      </c>
      <c r="B93" s="27" t="str">
        <f t="shared" si="5"/>
        <v>Гейко</v>
      </c>
      <c r="D93" t="s">
        <v>160</v>
      </c>
      <c r="E93">
        <v>280</v>
      </c>
      <c r="H93" s="1">
        <v>46215</v>
      </c>
      <c r="I93" t="s">
        <v>238</v>
      </c>
      <c r="K93" t="s">
        <v>160</v>
      </c>
      <c r="L93">
        <v>280</v>
      </c>
      <c r="M93">
        <f t="shared" si="3"/>
        <v>1</v>
      </c>
      <c r="N93">
        <f t="shared" si="4"/>
        <v>1</v>
      </c>
    </row>
    <row r="94" spans="1:14" x14ac:dyDescent="0.3">
      <c r="A94" s="1">
        <v>46215</v>
      </c>
      <c r="B94" s="27" t="str">
        <f t="shared" si="5"/>
        <v>Иманкулов</v>
      </c>
      <c r="D94" t="s">
        <v>70</v>
      </c>
      <c r="E94">
        <v>111.69</v>
      </c>
      <c r="H94" s="1">
        <v>46215</v>
      </c>
      <c r="I94" t="s">
        <v>239</v>
      </c>
      <c r="J94" t="s">
        <v>21</v>
      </c>
      <c r="K94" t="s">
        <v>70</v>
      </c>
      <c r="L94">
        <v>111.69</v>
      </c>
      <c r="M94">
        <f t="shared" si="3"/>
        <v>1</v>
      </c>
      <c r="N94">
        <f t="shared" si="4"/>
        <v>1</v>
      </c>
    </row>
    <row r="95" spans="1:14" x14ac:dyDescent="0.3">
      <c r="A95" s="1">
        <v>46215</v>
      </c>
      <c r="D95" t="s">
        <v>133</v>
      </c>
      <c r="E95">
        <v>200</v>
      </c>
      <c r="H95" s="1">
        <v>46215</v>
      </c>
      <c r="I95" t="s">
        <v>240</v>
      </c>
      <c r="K95" t="s">
        <v>133</v>
      </c>
      <c r="L95">
        <v>200</v>
      </c>
      <c r="M95">
        <f t="shared" si="3"/>
        <v>1</v>
      </c>
      <c r="N95">
        <f t="shared" si="4"/>
        <v>0</v>
      </c>
    </row>
    <row r="96" spans="1:14" x14ac:dyDescent="0.3">
      <c r="A96" s="1">
        <v>46215</v>
      </c>
      <c r="D96" t="s">
        <v>163</v>
      </c>
      <c r="E96">
        <v>305.68</v>
      </c>
      <c r="H96" s="1">
        <v>46215</v>
      </c>
      <c r="I96" t="s">
        <v>246</v>
      </c>
      <c r="K96" t="s">
        <v>163</v>
      </c>
      <c r="L96">
        <v>305.68</v>
      </c>
      <c r="M96">
        <f t="shared" si="3"/>
        <v>1</v>
      </c>
      <c r="N96">
        <f t="shared" si="4"/>
        <v>0</v>
      </c>
    </row>
    <row r="97" spans="1:14" x14ac:dyDescent="0.3">
      <c r="A97" s="1">
        <v>46216</v>
      </c>
      <c r="B97" s="27" t="str">
        <f t="shared" ref="B97:B110" si="6">I97</f>
        <v>Балгазин К.</v>
      </c>
      <c r="D97" t="s">
        <v>114</v>
      </c>
      <c r="E97">
        <v>200</v>
      </c>
      <c r="H97" s="1">
        <v>46216</v>
      </c>
      <c r="I97" t="s">
        <v>241</v>
      </c>
      <c r="K97" t="s">
        <v>114</v>
      </c>
      <c r="L97">
        <v>200</v>
      </c>
      <c r="M97">
        <f t="shared" si="3"/>
        <v>1</v>
      </c>
      <c r="N97">
        <f t="shared" si="4"/>
        <v>1</v>
      </c>
    </row>
    <row r="98" spans="1:14" x14ac:dyDescent="0.3">
      <c r="A98" s="1">
        <v>46216</v>
      </c>
      <c r="B98" s="27" t="str">
        <f t="shared" si="6"/>
        <v>Габралов</v>
      </c>
      <c r="D98" t="s">
        <v>123</v>
      </c>
      <c r="E98">
        <v>311.01</v>
      </c>
      <c r="H98" s="1">
        <v>46216</v>
      </c>
      <c r="I98" t="s">
        <v>242</v>
      </c>
      <c r="K98" t="s">
        <v>123</v>
      </c>
      <c r="L98">
        <v>311.01</v>
      </c>
      <c r="M98">
        <f t="shared" si="3"/>
        <v>1</v>
      </c>
      <c r="N98">
        <f t="shared" si="4"/>
        <v>1</v>
      </c>
    </row>
    <row r="99" spans="1:14" x14ac:dyDescent="0.3">
      <c r="A99" s="1">
        <v>46216</v>
      </c>
      <c r="B99" s="27" t="str">
        <f t="shared" si="6"/>
        <v>Moldashev</v>
      </c>
      <c r="D99" t="s">
        <v>179</v>
      </c>
      <c r="E99">
        <v>316.88</v>
      </c>
      <c r="H99" s="1">
        <v>46216</v>
      </c>
      <c r="I99" t="s">
        <v>78</v>
      </c>
      <c r="J99" t="s">
        <v>25</v>
      </c>
      <c r="K99" t="s">
        <v>179</v>
      </c>
      <c r="L99">
        <v>316.88</v>
      </c>
      <c r="M99">
        <f t="shared" si="3"/>
        <v>1</v>
      </c>
      <c r="N99">
        <f t="shared" si="4"/>
        <v>1</v>
      </c>
    </row>
    <row r="100" spans="1:14" x14ac:dyDescent="0.3">
      <c r="A100" s="1">
        <v>46216</v>
      </c>
      <c r="B100" s="27" t="str">
        <f t="shared" si="6"/>
        <v>Атыбаев</v>
      </c>
      <c r="D100" t="s">
        <v>157</v>
      </c>
      <c r="E100">
        <v>150</v>
      </c>
      <c r="H100" s="1">
        <v>46216</v>
      </c>
      <c r="I100" t="s">
        <v>232</v>
      </c>
      <c r="K100" t="s">
        <v>157</v>
      </c>
      <c r="L100">
        <v>150</v>
      </c>
      <c r="M100">
        <f t="shared" si="3"/>
        <v>1</v>
      </c>
      <c r="N100">
        <f t="shared" si="4"/>
        <v>1</v>
      </c>
    </row>
    <row r="101" spans="1:14" x14ac:dyDescent="0.3">
      <c r="A101" s="1">
        <v>46216</v>
      </c>
      <c r="B101" s="27" t="str">
        <f t="shared" si="6"/>
        <v>Булгаев</v>
      </c>
      <c r="C101" t="s">
        <v>21</v>
      </c>
      <c r="D101" t="s">
        <v>152</v>
      </c>
      <c r="E101">
        <v>285.01</v>
      </c>
      <c r="H101" s="1">
        <v>46216</v>
      </c>
      <c r="I101" t="s">
        <v>229</v>
      </c>
      <c r="J101" t="s">
        <v>21</v>
      </c>
      <c r="K101" t="s">
        <v>152</v>
      </c>
      <c r="L101">
        <v>285.01</v>
      </c>
      <c r="M101">
        <f t="shared" si="3"/>
        <v>1</v>
      </c>
      <c r="N101">
        <f t="shared" si="4"/>
        <v>1</v>
      </c>
    </row>
    <row r="102" spans="1:14" x14ac:dyDescent="0.3">
      <c r="A102" s="1">
        <v>46216</v>
      </c>
      <c r="B102" s="27" t="str">
        <f t="shared" si="6"/>
        <v>Dzhumagulov</v>
      </c>
      <c r="D102" t="s">
        <v>32</v>
      </c>
      <c r="E102">
        <v>244</v>
      </c>
      <c r="H102" s="1">
        <v>46216</v>
      </c>
      <c r="I102" t="s">
        <v>77</v>
      </c>
      <c r="J102" t="s">
        <v>25</v>
      </c>
      <c r="K102" t="s">
        <v>32</v>
      </c>
      <c r="L102">
        <v>244</v>
      </c>
      <c r="M102">
        <f t="shared" si="3"/>
        <v>1</v>
      </c>
      <c r="N102">
        <f t="shared" si="4"/>
        <v>1</v>
      </c>
    </row>
    <row r="103" spans="1:14" x14ac:dyDescent="0.3">
      <c r="A103" s="1">
        <v>46216</v>
      </c>
      <c r="B103" s="27" t="str">
        <f t="shared" si="6"/>
        <v>Утениязов</v>
      </c>
      <c r="D103" t="s">
        <v>23</v>
      </c>
      <c r="E103">
        <v>96.69</v>
      </c>
      <c r="H103" s="1">
        <v>46216</v>
      </c>
      <c r="I103" t="s">
        <v>243</v>
      </c>
      <c r="J103" t="s">
        <v>21</v>
      </c>
      <c r="K103" t="s">
        <v>23</v>
      </c>
      <c r="L103">
        <v>96.69</v>
      </c>
      <c r="M103">
        <f t="shared" si="3"/>
        <v>1</v>
      </c>
      <c r="N103">
        <f t="shared" si="4"/>
        <v>1</v>
      </c>
    </row>
    <row r="104" spans="1:14" x14ac:dyDescent="0.3">
      <c r="A104" s="1">
        <v>46216</v>
      </c>
      <c r="B104" s="27" t="str">
        <f t="shared" si="6"/>
        <v>Шотыбаев</v>
      </c>
      <c r="D104" t="s">
        <v>46</v>
      </c>
      <c r="E104">
        <v>127.03</v>
      </c>
      <c r="H104" s="1">
        <v>46216</v>
      </c>
      <c r="I104" t="s">
        <v>225</v>
      </c>
      <c r="J104" t="s">
        <v>25</v>
      </c>
      <c r="K104" t="s">
        <v>46</v>
      </c>
      <c r="L104">
        <v>127.03</v>
      </c>
      <c r="M104">
        <f t="shared" si="3"/>
        <v>1</v>
      </c>
      <c r="N104">
        <f t="shared" si="4"/>
        <v>1</v>
      </c>
    </row>
    <row r="105" spans="1:14" x14ac:dyDescent="0.3">
      <c r="A105" s="1">
        <v>46216</v>
      </c>
      <c r="B105" s="27" t="str">
        <f t="shared" si="6"/>
        <v>Lukpanov</v>
      </c>
      <c r="C105" t="s">
        <v>21</v>
      </c>
      <c r="D105" t="s">
        <v>34</v>
      </c>
      <c r="E105">
        <v>210.02</v>
      </c>
      <c r="H105" s="1">
        <v>46216</v>
      </c>
      <c r="I105" t="s">
        <v>35</v>
      </c>
      <c r="J105" t="s">
        <v>21</v>
      </c>
      <c r="K105" t="s">
        <v>34</v>
      </c>
      <c r="L105">
        <v>210.02</v>
      </c>
      <c r="M105">
        <f t="shared" si="3"/>
        <v>1</v>
      </c>
      <c r="N105">
        <f t="shared" si="4"/>
        <v>1</v>
      </c>
    </row>
    <row r="106" spans="1:14" x14ac:dyDescent="0.3">
      <c r="A106" s="1">
        <v>46216</v>
      </c>
      <c r="B106" s="27" t="str">
        <f t="shared" si="6"/>
        <v>Данаев</v>
      </c>
      <c r="D106" t="s">
        <v>74</v>
      </c>
      <c r="E106">
        <v>260</v>
      </c>
      <c r="H106" s="1">
        <v>46216</v>
      </c>
      <c r="I106" t="s">
        <v>244</v>
      </c>
      <c r="J106" t="s">
        <v>21</v>
      </c>
      <c r="K106" t="s">
        <v>74</v>
      </c>
      <c r="L106">
        <v>260</v>
      </c>
      <c r="M106">
        <f t="shared" si="3"/>
        <v>1</v>
      </c>
      <c r="N106">
        <f t="shared" si="4"/>
        <v>1</v>
      </c>
    </row>
    <row r="107" spans="1:14" x14ac:dyDescent="0.3">
      <c r="A107" s="1">
        <v>46216</v>
      </c>
      <c r="B107" s="27" t="str">
        <f t="shared" si="6"/>
        <v>Мушриев</v>
      </c>
      <c r="D107" t="s">
        <v>184</v>
      </c>
      <c r="E107">
        <v>350</v>
      </c>
      <c r="H107" s="1">
        <v>46216</v>
      </c>
      <c r="I107" t="s">
        <v>245</v>
      </c>
      <c r="K107" t="s">
        <v>184</v>
      </c>
      <c r="L107">
        <v>350</v>
      </c>
      <c r="M107">
        <f t="shared" si="3"/>
        <v>1</v>
      </c>
      <c r="N107">
        <f t="shared" si="4"/>
        <v>1</v>
      </c>
    </row>
    <row r="108" spans="1:14" x14ac:dyDescent="0.3">
      <c r="A108" s="1">
        <v>46216</v>
      </c>
      <c r="B108" s="27" t="str">
        <f t="shared" si="6"/>
        <v>Макенов</v>
      </c>
      <c r="D108" t="s">
        <v>67</v>
      </c>
      <c r="E108">
        <v>260</v>
      </c>
      <c r="H108" s="1">
        <v>46216</v>
      </c>
      <c r="I108" t="s">
        <v>218</v>
      </c>
      <c r="J108" t="s">
        <v>21</v>
      </c>
      <c r="K108" t="s">
        <v>67</v>
      </c>
      <c r="L108">
        <v>260</v>
      </c>
      <c r="M108">
        <f t="shared" si="3"/>
        <v>1</v>
      </c>
      <c r="N108">
        <f t="shared" si="4"/>
        <v>1</v>
      </c>
    </row>
    <row r="109" spans="1:14" x14ac:dyDescent="0.3">
      <c r="A109" s="1">
        <v>46216</v>
      </c>
      <c r="B109" s="27" t="str">
        <f t="shared" si="6"/>
        <v>Фырфа</v>
      </c>
      <c r="D109" t="s">
        <v>185</v>
      </c>
      <c r="E109">
        <v>265.41000000000003</v>
      </c>
      <c r="H109" s="1">
        <v>46216</v>
      </c>
      <c r="I109" t="s">
        <v>237</v>
      </c>
      <c r="K109" t="s">
        <v>168</v>
      </c>
      <c r="L109">
        <v>265.41000000000003</v>
      </c>
      <c r="M109">
        <f t="shared" si="3"/>
        <v>0</v>
      </c>
      <c r="N109">
        <f t="shared" si="4"/>
        <v>1</v>
      </c>
    </row>
    <row r="110" spans="1:14" x14ac:dyDescent="0.3">
      <c r="A110" s="1">
        <v>46216</v>
      </c>
      <c r="B110" s="27" t="str">
        <f t="shared" si="6"/>
        <v>Гейко</v>
      </c>
      <c r="D110" t="s">
        <v>160</v>
      </c>
      <c r="E110">
        <v>165</v>
      </c>
      <c r="H110" s="1">
        <v>46216</v>
      </c>
      <c r="I110" t="s">
        <v>238</v>
      </c>
      <c r="K110" t="s">
        <v>160</v>
      </c>
      <c r="L110">
        <v>165</v>
      </c>
      <c r="M110">
        <f t="shared" si="3"/>
        <v>1</v>
      </c>
      <c r="N110">
        <f t="shared" si="4"/>
        <v>1</v>
      </c>
    </row>
    <row r="111" spans="1:14" x14ac:dyDescent="0.3">
      <c r="A111" s="1">
        <v>46216</v>
      </c>
      <c r="B111" t="s">
        <v>197</v>
      </c>
      <c r="D111" t="s">
        <v>166</v>
      </c>
      <c r="E111">
        <v>140.01</v>
      </c>
      <c r="H111" s="1">
        <v>46216</v>
      </c>
      <c r="I111" t="s">
        <v>235</v>
      </c>
      <c r="K111" t="s">
        <v>166</v>
      </c>
      <c r="L111">
        <v>140.01</v>
      </c>
      <c r="M111">
        <f t="shared" si="3"/>
        <v>1</v>
      </c>
      <c r="N111">
        <f t="shared" si="4"/>
        <v>0</v>
      </c>
    </row>
    <row r="112" spans="1:14" x14ac:dyDescent="0.3">
      <c r="A112" s="1">
        <v>46216</v>
      </c>
      <c r="B112" s="27" t="str">
        <f t="shared" ref="B112:B119" si="7">I112</f>
        <v>Дабиденко</v>
      </c>
      <c r="D112" t="s">
        <v>163</v>
      </c>
      <c r="E112">
        <v>160.81</v>
      </c>
      <c r="H112" s="1">
        <v>46216</v>
      </c>
      <c r="I112" t="s">
        <v>246</v>
      </c>
      <c r="K112" t="s">
        <v>163</v>
      </c>
      <c r="L112">
        <v>160.81</v>
      </c>
      <c r="M112">
        <f t="shared" si="3"/>
        <v>1</v>
      </c>
      <c r="N112">
        <f t="shared" si="4"/>
        <v>1</v>
      </c>
    </row>
    <row r="113" spans="1:14" x14ac:dyDescent="0.3">
      <c r="A113" s="1">
        <v>46216</v>
      </c>
      <c r="B113" s="27" t="str">
        <f t="shared" si="7"/>
        <v>Ситинов</v>
      </c>
      <c r="D113" t="s">
        <v>165</v>
      </c>
      <c r="E113">
        <v>150</v>
      </c>
      <c r="H113" s="1">
        <v>46216</v>
      </c>
      <c r="I113" t="s">
        <v>236</v>
      </c>
      <c r="K113" t="s">
        <v>165</v>
      </c>
      <c r="L113">
        <v>150</v>
      </c>
      <c r="M113">
        <f t="shared" si="3"/>
        <v>1</v>
      </c>
      <c r="N113">
        <f t="shared" si="4"/>
        <v>1</v>
      </c>
    </row>
    <row r="114" spans="1:14" x14ac:dyDescent="0.3">
      <c r="A114" s="1">
        <v>46216</v>
      </c>
      <c r="B114" s="27" t="str">
        <f t="shared" si="7"/>
        <v>Байжанов</v>
      </c>
      <c r="D114" t="s">
        <v>164</v>
      </c>
      <c r="E114">
        <v>170.01</v>
      </c>
      <c r="H114" s="1">
        <v>46216</v>
      </c>
      <c r="I114" t="s">
        <v>269</v>
      </c>
      <c r="K114" t="s">
        <v>164</v>
      </c>
      <c r="L114">
        <v>170.01</v>
      </c>
      <c r="M114">
        <f t="shared" si="3"/>
        <v>1</v>
      </c>
      <c r="N114">
        <f t="shared" si="4"/>
        <v>1</v>
      </c>
    </row>
    <row r="115" spans="1:14" x14ac:dyDescent="0.3">
      <c r="A115" s="1">
        <v>46216</v>
      </c>
      <c r="B115" s="27" t="str">
        <f t="shared" si="7"/>
        <v>Данияров</v>
      </c>
      <c r="D115" t="s">
        <v>47</v>
      </c>
      <c r="E115">
        <v>170</v>
      </c>
      <c r="H115" s="1">
        <v>46216</v>
      </c>
      <c r="I115" t="s">
        <v>89</v>
      </c>
      <c r="J115" t="s">
        <v>21</v>
      </c>
      <c r="K115" t="s">
        <v>47</v>
      </c>
      <c r="L115">
        <v>170</v>
      </c>
      <c r="M115">
        <f t="shared" si="3"/>
        <v>1</v>
      </c>
      <c r="N115">
        <f t="shared" si="4"/>
        <v>1</v>
      </c>
    </row>
    <row r="116" spans="1:14" x14ac:dyDescent="0.3">
      <c r="A116" s="1">
        <v>46216</v>
      </c>
      <c r="B116" s="27" t="str">
        <f t="shared" si="7"/>
        <v>Иманкулов</v>
      </c>
      <c r="D116" t="s">
        <v>70</v>
      </c>
      <c r="E116">
        <v>213.57</v>
      </c>
      <c r="H116" s="1">
        <v>46216</v>
      </c>
      <c r="I116" t="s">
        <v>239</v>
      </c>
      <c r="J116" t="s">
        <v>21</v>
      </c>
      <c r="K116" t="s">
        <v>70</v>
      </c>
      <c r="L116">
        <v>213.57</v>
      </c>
      <c r="M116">
        <f t="shared" si="3"/>
        <v>1</v>
      </c>
      <c r="N116">
        <f t="shared" si="4"/>
        <v>1</v>
      </c>
    </row>
    <row r="117" spans="1:14" x14ac:dyDescent="0.3">
      <c r="A117" s="1">
        <v>46216</v>
      </c>
      <c r="D117" t="s">
        <v>22</v>
      </c>
      <c r="E117">
        <v>307.33999999999997</v>
      </c>
      <c r="H117" s="1">
        <v>46216</v>
      </c>
      <c r="K117" t="s">
        <v>22</v>
      </c>
      <c r="L117">
        <v>307.33999999999997</v>
      </c>
      <c r="M117">
        <f t="shared" si="3"/>
        <v>1</v>
      </c>
      <c r="N117">
        <f t="shared" si="4"/>
        <v>1</v>
      </c>
    </row>
    <row r="118" spans="1:14" x14ac:dyDescent="0.3">
      <c r="A118" s="1">
        <v>46216</v>
      </c>
      <c r="B118" s="27" t="str">
        <f t="shared" si="7"/>
        <v>Муханов</v>
      </c>
      <c r="D118" t="s">
        <v>24</v>
      </c>
      <c r="E118">
        <v>160.03</v>
      </c>
      <c r="H118" s="1">
        <v>46216</v>
      </c>
      <c r="I118" t="s">
        <v>233</v>
      </c>
      <c r="J118" t="s">
        <v>21</v>
      </c>
      <c r="K118" t="s">
        <v>24</v>
      </c>
      <c r="L118">
        <v>160.03</v>
      </c>
      <c r="M118">
        <f t="shared" si="3"/>
        <v>1</v>
      </c>
      <c r="N118">
        <f t="shared" si="4"/>
        <v>1</v>
      </c>
    </row>
    <row r="119" spans="1:14" x14ac:dyDescent="0.3">
      <c r="A119" s="1">
        <v>46216</v>
      </c>
      <c r="B119" s="27" t="str">
        <f t="shared" si="7"/>
        <v>Sagyntai</v>
      </c>
      <c r="D119" t="s">
        <v>48</v>
      </c>
      <c r="E119">
        <v>200.11</v>
      </c>
      <c r="H119" s="1">
        <v>46216</v>
      </c>
      <c r="I119" t="s">
        <v>42</v>
      </c>
      <c r="J119" t="s">
        <v>43</v>
      </c>
      <c r="K119" t="s">
        <v>48</v>
      </c>
      <c r="L119">
        <v>200.11</v>
      </c>
      <c r="M119">
        <f t="shared" si="3"/>
        <v>1</v>
      </c>
      <c r="N119">
        <f t="shared" si="4"/>
        <v>1</v>
      </c>
    </row>
    <row r="120" spans="1:14" x14ac:dyDescent="0.3">
      <c r="A120" s="1">
        <v>46217</v>
      </c>
      <c r="D120" t="s">
        <v>175</v>
      </c>
      <c r="E120">
        <v>328.01</v>
      </c>
      <c r="H120" s="1">
        <v>46217</v>
      </c>
      <c r="I120" t="s">
        <v>84</v>
      </c>
      <c r="J120" t="s">
        <v>21</v>
      </c>
      <c r="K120" t="s">
        <v>175</v>
      </c>
      <c r="L120">
        <v>328.01</v>
      </c>
      <c r="M120">
        <f t="shared" si="3"/>
        <v>1</v>
      </c>
      <c r="N120">
        <f t="shared" si="4"/>
        <v>0</v>
      </c>
    </row>
    <row r="121" spans="1:14" x14ac:dyDescent="0.3">
      <c r="A121" s="1">
        <v>46217</v>
      </c>
      <c r="D121" t="s">
        <v>82</v>
      </c>
      <c r="E121">
        <v>330.01</v>
      </c>
      <c r="H121" s="1">
        <v>46217</v>
      </c>
      <c r="I121" t="s">
        <v>227</v>
      </c>
      <c r="J121" t="s">
        <v>21</v>
      </c>
      <c r="K121" t="s">
        <v>82</v>
      </c>
      <c r="L121">
        <v>330.01</v>
      </c>
      <c r="M121">
        <f t="shared" si="3"/>
        <v>1</v>
      </c>
      <c r="N121">
        <f t="shared" si="4"/>
        <v>0</v>
      </c>
    </row>
    <row r="122" spans="1:14" x14ac:dyDescent="0.3">
      <c r="A122" s="1">
        <v>46217</v>
      </c>
      <c r="D122" t="s">
        <v>44</v>
      </c>
      <c r="E122">
        <v>200</v>
      </c>
      <c r="H122" s="1">
        <v>46217</v>
      </c>
      <c r="I122" t="s">
        <v>38</v>
      </c>
      <c r="J122" t="s">
        <v>21</v>
      </c>
      <c r="K122" t="s">
        <v>44</v>
      </c>
      <c r="L122">
        <v>200</v>
      </c>
      <c r="M122">
        <f t="shared" si="3"/>
        <v>1</v>
      </c>
      <c r="N122">
        <f t="shared" si="4"/>
        <v>0</v>
      </c>
    </row>
    <row r="123" spans="1:14" x14ac:dyDescent="0.3">
      <c r="A123" s="1">
        <v>46217</v>
      </c>
      <c r="D123" t="s">
        <v>28</v>
      </c>
      <c r="E123">
        <v>252.01</v>
      </c>
      <c r="H123" s="1">
        <v>46217</v>
      </c>
      <c r="I123" t="s">
        <v>37</v>
      </c>
      <c r="J123" t="s">
        <v>21</v>
      </c>
      <c r="K123" t="s">
        <v>28</v>
      </c>
      <c r="L123">
        <v>252.01</v>
      </c>
      <c r="M123">
        <f t="shared" si="3"/>
        <v>1</v>
      </c>
      <c r="N123">
        <f t="shared" si="4"/>
        <v>0</v>
      </c>
    </row>
    <row r="124" spans="1:14" x14ac:dyDescent="0.3">
      <c r="A124" s="1">
        <v>46217</v>
      </c>
      <c r="D124" t="s">
        <v>158</v>
      </c>
      <c r="E124">
        <v>200</v>
      </c>
      <c r="H124" s="1">
        <v>46217</v>
      </c>
      <c r="I124" t="s">
        <v>224</v>
      </c>
      <c r="K124" t="s">
        <v>158</v>
      </c>
      <c r="L124">
        <v>200</v>
      </c>
      <c r="M124">
        <f t="shared" si="3"/>
        <v>1</v>
      </c>
      <c r="N124">
        <f t="shared" si="4"/>
        <v>0</v>
      </c>
    </row>
    <row r="125" spans="1:14" x14ac:dyDescent="0.3">
      <c r="A125" s="1">
        <v>46217</v>
      </c>
      <c r="D125" t="s">
        <v>65</v>
      </c>
      <c r="E125">
        <v>240</v>
      </c>
      <c r="H125" s="1">
        <v>46217</v>
      </c>
      <c r="I125" t="s">
        <v>64</v>
      </c>
      <c r="J125" t="s">
        <v>21</v>
      </c>
      <c r="K125" t="s">
        <v>65</v>
      </c>
      <c r="L125">
        <v>240</v>
      </c>
      <c r="M125">
        <f t="shared" si="3"/>
        <v>1</v>
      </c>
      <c r="N125">
        <f t="shared" si="4"/>
        <v>0</v>
      </c>
    </row>
    <row r="126" spans="1:14" x14ac:dyDescent="0.3">
      <c r="A126" s="1">
        <v>46217</v>
      </c>
      <c r="D126" t="s">
        <v>165</v>
      </c>
      <c r="E126">
        <v>170</v>
      </c>
      <c r="H126" s="1">
        <v>46217</v>
      </c>
      <c r="I126" t="s">
        <v>236</v>
      </c>
      <c r="K126" t="s">
        <v>165</v>
      </c>
      <c r="L126">
        <v>170</v>
      </c>
      <c r="M126">
        <f t="shared" si="3"/>
        <v>1</v>
      </c>
      <c r="N126">
        <f t="shared" si="4"/>
        <v>0</v>
      </c>
    </row>
    <row r="127" spans="1:14" x14ac:dyDescent="0.3">
      <c r="A127" s="1">
        <v>46217</v>
      </c>
      <c r="D127" t="s">
        <v>160</v>
      </c>
      <c r="E127">
        <v>170</v>
      </c>
      <c r="H127" s="1">
        <v>46217</v>
      </c>
      <c r="I127" t="s">
        <v>238</v>
      </c>
      <c r="K127" t="s">
        <v>160</v>
      </c>
      <c r="L127">
        <v>170</v>
      </c>
      <c r="M127">
        <f t="shared" si="3"/>
        <v>1</v>
      </c>
      <c r="N127">
        <f t="shared" si="4"/>
        <v>0</v>
      </c>
    </row>
    <row r="128" spans="1:14" x14ac:dyDescent="0.3">
      <c r="A128" s="1">
        <v>46217</v>
      </c>
      <c r="D128" t="s">
        <v>157</v>
      </c>
      <c r="E128">
        <v>150</v>
      </c>
      <c r="H128" s="1">
        <v>46217</v>
      </c>
      <c r="I128" t="s">
        <v>232</v>
      </c>
      <c r="K128" t="s">
        <v>157</v>
      </c>
      <c r="L128">
        <v>150</v>
      </c>
      <c r="M128">
        <f t="shared" si="3"/>
        <v>1</v>
      </c>
      <c r="N128">
        <f t="shared" si="4"/>
        <v>0</v>
      </c>
    </row>
    <row r="129" spans="1:14" x14ac:dyDescent="0.3">
      <c r="A129" s="1">
        <v>46217</v>
      </c>
      <c r="D129" t="s">
        <v>86</v>
      </c>
      <c r="E129">
        <v>330</v>
      </c>
      <c r="H129" s="1">
        <v>46217</v>
      </c>
      <c r="I129" t="s">
        <v>85</v>
      </c>
      <c r="J129" t="s">
        <v>21</v>
      </c>
      <c r="K129" t="s">
        <v>86</v>
      </c>
      <c r="L129">
        <v>330</v>
      </c>
      <c r="M129">
        <f t="shared" si="3"/>
        <v>1</v>
      </c>
      <c r="N129">
        <f t="shared" si="4"/>
        <v>0</v>
      </c>
    </row>
    <row r="130" spans="1:14" x14ac:dyDescent="0.3">
      <c r="A130" s="1">
        <v>46217</v>
      </c>
      <c r="D130" t="s">
        <v>74</v>
      </c>
      <c r="E130">
        <v>150</v>
      </c>
      <c r="H130" s="1">
        <v>46217</v>
      </c>
      <c r="I130" t="s">
        <v>244</v>
      </c>
      <c r="J130" t="s">
        <v>21</v>
      </c>
      <c r="K130" t="s">
        <v>74</v>
      </c>
      <c r="L130">
        <v>150</v>
      </c>
      <c r="M130">
        <f t="shared" si="3"/>
        <v>1</v>
      </c>
      <c r="N130">
        <f t="shared" si="4"/>
        <v>0</v>
      </c>
    </row>
    <row r="131" spans="1:14" x14ac:dyDescent="0.3">
      <c r="A131" s="1">
        <v>46217</v>
      </c>
      <c r="B131" t="s">
        <v>83</v>
      </c>
      <c r="C131" t="s">
        <v>21</v>
      </c>
      <c r="D131" t="s">
        <v>152</v>
      </c>
      <c r="E131">
        <v>230.03</v>
      </c>
      <c r="H131" s="1">
        <v>46217</v>
      </c>
      <c r="I131" t="s">
        <v>229</v>
      </c>
      <c r="J131" t="s">
        <v>21</v>
      </c>
      <c r="K131" t="s">
        <v>152</v>
      </c>
      <c r="L131">
        <v>230.03</v>
      </c>
      <c r="M131">
        <f t="shared" ref="M131:M160" si="8">IF(K131=D131,1,0)</f>
        <v>1</v>
      </c>
      <c r="N131">
        <f t="shared" ref="N131:N160" si="9">IF(I131=B131,1,0)</f>
        <v>0</v>
      </c>
    </row>
    <row r="132" spans="1:14" x14ac:dyDescent="0.3">
      <c r="A132" s="1">
        <v>46217</v>
      </c>
      <c r="D132" t="s">
        <v>48</v>
      </c>
      <c r="E132">
        <v>130</v>
      </c>
      <c r="H132" s="1">
        <v>46217</v>
      </c>
      <c r="I132" t="s">
        <v>42</v>
      </c>
      <c r="J132" t="s">
        <v>43</v>
      </c>
      <c r="K132" t="s">
        <v>48</v>
      </c>
      <c r="L132">
        <v>130</v>
      </c>
      <c r="M132">
        <f t="shared" si="8"/>
        <v>1</v>
      </c>
      <c r="N132">
        <f t="shared" si="9"/>
        <v>0</v>
      </c>
    </row>
    <row r="133" spans="1:14" x14ac:dyDescent="0.3">
      <c r="A133" s="1">
        <v>46217</v>
      </c>
      <c r="D133" t="s">
        <v>159</v>
      </c>
      <c r="E133">
        <v>300</v>
      </c>
      <c r="H133" s="1">
        <v>46217</v>
      </c>
      <c r="I133" t="s">
        <v>270</v>
      </c>
      <c r="K133" t="s">
        <v>159</v>
      </c>
      <c r="L133">
        <v>300</v>
      </c>
      <c r="M133">
        <f t="shared" si="8"/>
        <v>1</v>
      </c>
      <c r="N133">
        <f t="shared" si="9"/>
        <v>0</v>
      </c>
    </row>
    <row r="134" spans="1:14" x14ac:dyDescent="0.3">
      <c r="A134" s="1">
        <v>46217</v>
      </c>
      <c r="D134" t="s">
        <v>24</v>
      </c>
      <c r="E134">
        <v>180</v>
      </c>
      <c r="H134" s="1">
        <v>46217</v>
      </c>
      <c r="I134" t="s">
        <v>233</v>
      </c>
      <c r="J134" t="s">
        <v>21</v>
      </c>
      <c r="K134" t="s">
        <v>24</v>
      </c>
      <c r="L134">
        <v>180</v>
      </c>
      <c r="M134">
        <f t="shared" si="8"/>
        <v>1</v>
      </c>
      <c r="N134">
        <f t="shared" si="9"/>
        <v>0</v>
      </c>
    </row>
    <row r="135" spans="1:14" x14ac:dyDescent="0.3">
      <c r="A135" s="1">
        <v>46217</v>
      </c>
      <c r="D135" t="s">
        <v>32</v>
      </c>
      <c r="E135">
        <v>248.01</v>
      </c>
      <c r="H135" s="1">
        <v>46217</v>
      </c>
      <c r="I135" t="s">
        <v>234</v>
      </c>
      <c r="J135" t="s">
        <v>25</v>
      </c>
      <c r="K135" t="s">
        <v>32</v>
      </c>
      <c r="L135">
        <v>248.01</v>
      </c>
      <c r="M135">
        <f t="shared" si="8"/>
        <v>1</v>
      </c>
      <c r="N135">
        <f t="shared" si="9"/>
        <v>0</v>
      </c>
    </row>
    <row r="136" spans="1:14" x14ac:dyDescent="0.3">
      <c r="A136" s="1">
        <v>46217</v>
      </c>
      <c r="D136" t="s">
        <v>92</v>
      </c>
      <c r="E136">
        <v>180.01</v>
      </c>
      <c r="H136" s="1">
        <v>46217</v>
      </c>
      <c r="K136" t="s">
        <v>92</v>
      </c>
      <c r="L136">
        <v>180.01</v>
      </c>
      <c r="M136">
        <f t="shared" si="8"/>
        <v>1</v>
      </c>
      <c r="N136">
        <f t="shared" si="9"/>
        <v>1</v>
      </c>
    </row>
    <row r="137" spans="1:14" x14ac:dyDescent="0.3">
      <c r="A137" s="1">
        <v>46217</v>
      </c>
      <c r="D137" t="s">
        <v>91</v>
      </c>
      <c r="E137">
        <v>121</v>
      </c>
      <c r="H137" s="1">
        <v>46217</v>
      </c>
      <c r="K137" t="s">
        <v>91</v>
      </c>
      <c r="L137">
        <v>121</v>
      </c>
      <c r="M137">
        <f t="shared" si="8"/>
        <v>1</v>
      </c>
      <c r="N137">
        <f t="shared" si="9"/>
        <v>1</v>
      </c>
    </row>
    <row r="138" spans="1:14" x14ac:dyDescent="0.3">
      <c r="A138" s="1">
        <v>46217</v>
      </c>
      <c r="D138" t="s">
        <v>58</v>
      </c>
      <c r="E138">
        <v>277.01</v>
      </c>
      <c r="H138" s="1">
        <v>46217</v>
      </c>
      <c r="I138" t="s">
        <v>230</v>
      </c>
      <c r="J138" t="s">
        <v>25</v>
      </c>
      <c r="K138" t="s">
        <v>58</v>
      </c>
      <c r="L138">
        <v>277.01</v>
      </c>
      <c r="M138">
        <f t="shared" si="8"/>
        <v>1</v>
      </c>
      <c r="N138">
        <f t="shared" si="9"/>
        <v>0</v>
      </c>
    </row>
    <row r="139" spans="1:14" x14ac:dyDescent="0.3">
      <c r="A139" s="1">
        <v>46217</v>
      </c>
      <c r="D139" t="s">
        <v>57</v>
      </c>
      <c r="E139">
        <v>230.05</v>
      </c>
      <c r="H139" s="1">
        <v>46217</v>
      </c>
      <c r="I139" t="s">
        <v>49</v>
      </c>
      <c r="J139" t="s">
        <v>25</v>
      </c>
      <c r="K139" t="s">
        <v>57</v>
      </c>
      <c r="L139">
        <v>230.05</v>
      </c>
      <c r="M139">
        <f t="shared" si="8"/>
        <v>1</v>
      </c>
      <c r="N139">
        <f t="shared" si="9"/>
        <v>0</v>
      </c>
    </row>
    <row r="140" spans="1:14" x14ac:dyDescent="0.3">
      <c r="A140" s="1">
        <v>46217</v>
      </c>
      <c r="D140" t="s">
        <v>61</v>
      </c>
      <c r="E140">
        <v>250</v>
      </c>
      <c r="H140" s="1">
        <v>46217</v>
      </c>
      <c r="I140" t="s">
        <v>56</v>
      </c>
      <c r="J140" t="s">
        <v>21</v>
      </c>
      <c r="K140" t="s">
        <v>61</v>
      </c>
      <c r="L140">
        <v>250</v>
      </c>
      <c r="M140">
        <f t="shared" si="8"/>
        <v>1</v>
      </c>
      <c r="N140">
        <f t="shared" si="9"/>
        <v>0</v>
      </c>
    </row>
    <row r="141" spans="1:14" x14ac:dyDescent="0.3">
      <c r="A141" s="1">
        <v>46217</v>
      </c>
      <c r="B141" t="s">
        <v>197</v>
      </c>
      <c r="D141" t="s">
        <v>166</v>
      </c>
      <c r="E141">
        <v>137.30000000000001</v>
      </c>
      <c r="H141" s="1">
        <v>46217</v>
      </c>
      <c r="I141" t="s">
        <v>235</v>
      </c>
      <c r="K141" t="s">
        <v>166</v>
      </c>
      <c r="L141">
        <v>137.30000000000001</v>
      </c>
      <c r="M141">
        <f t="shared" si="8"/>
        <v>1</v>
      </c>
      <c r="N141">
        <f t="shared" si="9"/>
        <v>0</v>
      </c>
    </row>
    <row r="142" spans="1:14" x14ac:dyDescent="0.3">
      <c r="A142" s="1">
        <v>46217</v>
      </c>
      <c r="D142" t="s">
        <v>163</v>
      </c>
      <c r="E142">
        <v>170</v>
      </c>
      <c r="H142" s="1">
        <v>46217</v>
      </c>
      <c r="I142" t="s">
        <v>246</v>
      </c>
      <c r="K142" t="s">
        <v>163</v>
      </c>
      <c r="L142">
        <v>170</v>
      </c>
      <c r="M142">
        <f t="shared" si="8"/>
        <v>1</v>
      </c>
      <c r="N142">
        <f t="shared" si="9"/>
        <v>0</v>
      </c>
    </row>
    <row r="143" spans="1:14" x14ac:dyDescent="0.3">
      <c r="A143" s="1">
        <v>46217</v>
      </c>
      <c r="D143" t="s">
        <v>23</v>
      </c>
      <c r="E143">
        <v>200.03</v>
      </c>
      <c r="H143" s="1">
        <v>46217</v>
      </c>
      <c r="I143" t="s">
        <v>243</v>
      </c>
      <c r="J143" t="s">
        <v>21</v>
      </c>
      <c r="K143" t="s">
        <v>23</v>
      </c>
      <c r="L143">
        <v>200.03</v>
      </c>
      <c r="M143">
        <f t="shared" si="8"/>
        <v>1</v>
      </c>
      <c r="N143">
        <f t="shared" si="9"/>
        <v>0</v>
      </c>
    </row>
    <row r="144" spans="1:14" x14ac:dyDescent="0.3">
      <c r="A144" s="1">
        <v>46217</v>
      </c>
      <c r="D144" t="s">
        <v>70</v>
      </c>
      <c r="E144">
        <v>193.55</v>
      </c>
      <c r="H144" s="1">
        <v>46217</v>
      </c>
      <c r="I144" t="s">
        <v>239</v>
      </c>
      <c r="J144" t="s">
        <v>21</v>
      </c>
      <c r="K144" t="s">
        <v>70</v>
      </c>
      <c r="L144">
        <v>193.55</v>
      </c>
      <c r="M144">
        <f t="shared" si="8"/>
        <v>1</v>
      </c>
      <c r="N144">
        <f t="shared" si="9"/>
        <v>0</v>
      </c>
    </row>
    <row r="145" spans="1:14" x14ac:dyDescent="0.3">
      <c r="A145" s="1">
        <v>46217</v>
      </c>
      <c r="D145" t="s">
        <v>162</v>
      </c>
      <c r="E145">
        <v>207</v>
      </c>
      <c r="H145" s="1">
        <v>46217</v>
      </c>
      <c r="I145" t="s">
        <v>272</v>
      </c>
      <c r="J145" t="s">
        <v>271</v>
      </c>
      <c r="K145" t="s">
        <v>162</v>
      </c>
      <c r="L145">
        <v>207</v>
      </c>
      <c r="M145">
        <f t="shared" si="8"/>
        <v>1</v>
      </c>
      <c r="N145">
        <f t="shared" si="9"/>
        <v>0</v>
      </c>
    </row>
    <row r="146" spans="1:14" x14ac:dyDescent="0.3">
      <c r="A146" s="1">
        <v>46218</v>
      </c>
      <c r="D146" t="s">
        <v>22</v>
      </c>
      <c r="E146">
        <v>262.57</v>
      </c>
      <c r="H146" s="1">
        <v>46218</v>
      </c>
      <c r="K146" t="s">
        <v>22</v>
      </c>
      <c r="L146">
        <v>262.57</v>
      </c>
      <c r="M146">
        <f t="shared" si="8"/>
        <v>1</v>
      </c>
      <c r="N146">
        <f t="shared" si="9"/>
        <v>1</v>
      </c>
    </row>
    <row r="147" spans="1:14" x14ac:dyDescent="0.3">
      <c r="A147" s="1">
        <v>46218</v>
      </c>
      <c r="D147" t="s">
        <v>67</v>
      </c>
      <c r="E147">
        <v>252.63</v>
      </c>
      <c r="H147" s="1">
        <v>46218</v>
      </c>
      <c r="I147" t="s">
        <v>218</v>
      </c>
      <c r="J147" t="s">
        <v>21</v>
      </c>
      <c r="K147" t="s">
        <v>67</v>
      </c>
      <c r="L147">
        <v>252.63</v>
      </c>
      <c r="M147">
        <f t="shared" si="8"/>
        <v>1</v>
      </c>
      <c r="N147">
        <f t="shared" si="9"/>
        <v>0</v>
      </c>
    </row>
    <row r="148" spans="1:14" x14ac:dyDescent="0.3">
      <c r="A148" s="1">
        <v>46218</v>
      </c>
      <c r="D148" t="s">
        <v>32</v>
      </c>
      <c r="E148">
        <v>230</v>
      </c>
      <c r="H148" s="1">
        <v>46218</v>
      </c>
      <c r="I148" t="s">
        <v>77</v>
      </c>
      <c r="J148" t="s">
        <v>25</v>
      </c>
      <c r="K148" t="s">
        <v>32</v>
      </c>
      <c r="L148">
        <v>230</v>
      </c>
      <c r="M148">
        <f t="shared" si="8"/>
        <v>1</v>
      </c>
      <c r="N148">
        <f t="shared" si="9"/>
        <v>0</v>
      </c>
    </row>
    <row r="149" spans="1:14" x14ac:dyDescent="0.3">
      <c r="A149" s="1">
        <v>46218</v>
      </c>
      <c r="D149" t="s">
        <v>74</v>
      </c>
      <c r="E149">
        <v>210</v>
      </c>
      <c r="H149" s="1">
        <v>46218</v>
      </c>
      <c r="I149" t="s">
        <v>244</v>
      </c>
      <c r="J149" t="s">
        <v>21</v>
      </c>
      <c r="K149" t="s">
        <v>74</v>
      </c>
      <c r="L149">
        <v>210</v>
      </c>
      <c r="M149">
        <f t="shared" si="8"/>
        <v>1</v>
      </c>
      <c r="N149">
        <f t="shared" si="9"/>
        <v>0</v>
      </c>
    </row>
    <row r="150" spans="1:14" x14ac:dyDescent="0.3">
      <c r="A150" s="1">
        <v>46218</v>
      </c>
      <c r="D150" t="s">
        <v>167</v>
      </c>
      <c r="E150">
        <v>345.24</v>
      </c>
      <c r="H150" s="1">
        <v>46218</v>
      </c>
      <c r="I150" t="s">
        <v>237</v>
      </c>
      <c r="K150" t="s">
        <v>167</v>
      </c>
      <c r="L150">
        <v>345.24</v>
      </c>
      <c r="M150">
        <f t="shared" si="8"/>
        <v>1</v>
      </c>
      <c r="N150">
        <f t="shared" si="9"/>
        <v>0</v>
      </c>
    </row>
    <row r="151" spans="1:14" x14ac:dyDescent="0.3">
      <c r="A151" s="1">
        <v>46218</v>
      </c>
      <c r="D151" t="s">
        <v>164</v>
      </c>
      <c r="E151">
        <v>270</v>
      </c>
      <c r="H151" s="1">
        <v>46218</v>
      </c>
      <c r="I151" t="s">
        <v>269</v>
      </c>
      <c r="K151" t="s">
        <v>164</v>
      </c>
      <c r="L151">
        <v>270</v>
      </c>
      <c r="M151">
        <f t="shared" si="8"/>
        <v>1</v>
      </c>
      <c r="N151">
        <f t="shared" si="9"/>
        <v>0</v>
      </c>
    </row>
    <row r="152" spans="1:14" x14ac:dyDescent="0.3">
      <c r="A152" s="1">
        <v>46218</v>
      </c>
      <c r="D152" t="s">
        <v>160</v>
      </c>
      <c r="E152">
        <v>150</v>
      </c>
      <c r="H152" s="1">
        <v>46218</v>
      </c>
      <c r="I152" t="s">
        <v>238</v>
      </c>
      <c r="K152" t="s">
        <v>160</v>
      </c>
      <c r="L152">
        <v>150</v>
      </c>
      <c r="M152">
        <f t="shared" si="8"/>
        <v>1</v>
      </c>
      <c r="N152">
        <f t="shared" si="9"/>
        <v>0</v>
      </c>
    </row>
    <row r="153" spans="1:14" x14ac:dyDescent="0.3">
      <c r="A153" s="1">
        <v>46218</v>
      </c>
      <c r="D153" t="s">
        <v>123</v>
      </c>
      <c r="E153">
        <v>335.02</v>
      </c>
      <c r="H153" s="1">
        <v>46218</v>
      </c>
      <c r="I153" t="s">
        <v>242</v>
      </c>
      <c r="K153" t="s">
        <v>123</v>
      </c>
      <c r="L153">
        <v>335.02</v>
      </c>
      <c r="M153">
        <f t="shared" si="8"/>
        <v>1</v>
      </c>
      <c r="N153">
        <f t="shared" si="9"/>
        <v>0</v>
      </c>
    </row>
    <row r="154" spans="1:14" x14ac:dyDescent="0.3">
      <c r="A154" s="1">
        <v>46218</v>
      </c>
      <c r="B154" t="s">
        <v>196</v>
      </c>
      <c r="C154" t="s">
        <v>21</v>
      </c>
      <c r="D154" t="s">
        <v>34</v>
      </c>
      <c r="E154">
        <v>210.13</v>
      </c>
      <c r="H154" s="1">
        <v>46218</v>
      </c>
      <c r="I154" t="s">
        <v>35</v>
      </c>
      <c r="J154" t="s">
        <v>21</v>
      </c>
      <c r="K154" t="s">
        <v>34</v>
      </c>
      <c r="L154">
        <v>210.13</v>
      </c>
      <c r="M154">
        <f t="shared" si="8"/>
        <v>1</v>
      </c>
      <c r="N154">
        <f t="shared" si="9"/>
        <v>0</v>
      </c>
    </row>
    <row r="155" spans="1:14" x14ac:dyDescent="0.3">
      <c r="A155" s="1">
        <v>46218</v>
      </c>
      <c r="D155" t="s">
        <v>47</v>
      </c>
      <c r="E155">
        <v>300</v>
      </c>
      <c r="H155" s="1">
        <v>46218</v>
      </c>
      <c r="I155" t="s">
        <v>89</v>
      </c>
      <c r="J155" t="s">
        <v>21</v>
      </c>
      <c r="K155" t="s">
        <v>47</v>
      </c>
      <c r="L155">
        <v>300</v>
      </c>
      <c r="M155">
        <f t="shared" si="8"/>
        <v>1</v>
      </c>
      <c r="N155">
        <f t="shared" si="9"/>
        <v>0</v>
      </c>
    </row>
    <row r="156" spans="1:14" x14ac:dyDescent="0.3">
      <c r="A156" s="1">
        <v>46218</v>
      </c>
      <c r="D156" t="s">
        <v>24</v>
      </c>
      <c r="E156">
        <v>220</v>
      </c>
      <c r="H156" s="1">
        <v>46218</v>
      </c>
      <c r="I156" t="s">
        <v>233</v>
      </c>
      <c r="J156" t="s">
        <v>21</v>
      </c>
      <c r="K156" t="s">
        <v>24</v>
      </c>
      <c r="L156">
        <v>220</v>
      </c>
      <c r="M156">
        <f t="shared" si="8"/>
        <v>1</v>
      </c>
      <c r="N156">
        <f t="shared" si="9"/>
        <v>0</v>
      </c>
    </row>
    <row r="157" spans="1:14" x14ac:dyDescent="0.3">
      <c r="A157" s="1">
        <v>46218</v>
      </c>
      <c r="D157" t="s">
        <v>157</v>
      </c>
      <c r="E157">
        <v>200</v>
      </c>
      <c r="H157" s="1">
        <v>46218</v>
      </c>
      <c r="I157" t="s">
        <v>232</v>
      </c>
      <c r="K157" t="s">
        <v>157</v>
      </c>
      <c r="L157">
        <v>200</v>
      </c>
      <c r="M157">
        <f t="shared" si="8"/>
        <v>1</v>
      </c>
      <c r="N157">
        <f t="shared" si="9"/>
        <v>0</v>
      </c>
    </row>
    <row r="158" spans="1:14" x14ac:dyDescent="0.3">
      <c r="A158" s="1">
        <v>46218</v>
      </c>
      <c r="D158" t="s">
        <v>159</v>
      </c>
      <c r="E158">
        <v>159.99</v>
      </c>
      <c r="H158" s="1">
        <v>46218</v>
      </c>
      <c r="I158" t="s">
        <v>270</v>
      </c>
      <c r="K158" t="s">
        <v>159</v>
      </c>
      <c r="L158">
        <v>159.99</v>
      </c>
      <c r="M158">
        <f t="shared" si="8"/>
        <v>1</v>
      </c>
      <c r="N158">
        <f t="shared" si="9"/>
        <v>0</v>
      </c>
    </row>
    <row r="159" spans="1:14" x14ac:dyDescent="0.3">
      <c r="A159" s="1">
        <v>46218</v>
      </c>
      <c r="D159" t="s">
        <v>27</v>
      </c>
      <c r="E159">
        <v>338.02</v>
      </c>
      <c r="H159" s="1">
        <v>46218</v>
      </c>
      <c r="I159" t="s">
        <v>68</v>
      </c>
      <c r="J159" t="s">
        <v>21</v>
      </c>
      <c r="K159" t="s">
        <v>27</v>
      </c>
      <c r="L159">
        <v>338.02</v>
      </c>
      <c r="M159">
        <f t="shared" si="8"/>
        <v>1</v>
      </c>
      <c r="N159">
        <f t="shared" si="9"/>
        <v>0</v>
      </c>
    </row>
    <row r="160" spans="1:14" x14ac:dyDescent="0.3">
      <c r="A160" s="1">
        <v>46218</v>
      </c>
      <c r="D160" t="s">
        <v>59</v>
      </c>
      <c r="E160">
        <v>250</v>
      </c>
      <c r="H160" s="1">
        <v>46218</v>
      </c>
      <c r="I160" t="s">
        <v>53</v>
      </c>
      <c r="J160" t="s">
        <v>21</v>
      </c>
      <c r="K160" t="s">
        <v>59</v>
      </c>
      <c r="L160">
        <v>250</v>
      </c>
      <c r="M160">
        <f t="shared" si="8"/>
        <v>1</v>
      </c>
      <c r="N160">
        <f t="shared" si="9"/>
        <v>0</v>
      </c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</sheetData>
  <autoFilter ref="H1:L160" xr:uid="{F3ADBB78-DBBC-4928-B5DB-B0F35328FA5C}"/>
  <conditionalFormatting sqref="B1:B45 B48:B160">
    <cfRule type="duplicateValues" dxfId="8" priority="9"/>
  </conditionalFormatting>
  <conditionalFormatting sqref="B161:B1048576">
    <cfRule type="duplicateValues" dxfId="7" priority="15"/>
  </conditionalFormatting>
  <conditionalFormatting sqref="D1:D160 B1:B160">
    <cfRule type="duplicateValues" dxfId="6" priority="16"/>
  </conditionalFormatting>
  <conditionalFormatting sqref="D1:D160">
    <cfRule type="duplicateValues" dxfId="5" priority="5"/>
  </conditionalFormatting>
  <conditionalFormatting sqref="D47">
    <cfRule type="duplicateValues" dxfId="4" priority="3"/>
  </conditionalFormatting>
  <conditionalFormatting sqref="D50:D51 D1:D45 D53:D160">
    <cfRule type="duplicateValues" dxfId="3" priority="8"/>
  </conditionalFormatting>
  <conditionalFormatting sqref="D161:D1048576 B161:B1048576">
    <cfRule type="duplicateValues" dxfId="2" priority="18"/>
  </conditionalFormatting>
  <conditionalFormatting sqref="D161:D1048576">
    <cfRule type="duplicateValues" dxfId="1" priority="11"/>
    <cfRule type="duplicateValues" dxfId="0" priority="14"/>
  </conditionalFormatting>
  <conditionalFormatting sqref="M2:M1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02A6-E562-4DDC-8C8C-D5FE3D05375D}">
  <sheetPr>
    <tabColor rgb="FF00B050"/>
  </sheetPr>
  <dimension ref="A3:B52"/>
  <sheetViews>
    <sheetView workbookViewId="0">
      <selection activeCell="A7" sqref="A7:B7"/>
    </sheetView>
  </sheetViews>
  <sheetFormatPr defaultRowHeight="14.4" x14ac:dyDescent="0.3"/>
  <cols>
    <col min="1" max="1" width="17" bestFit="1" customWidth="1"/>
    <col min="2" max="2" width="25.5546875" bestFit="1" customWidth="1"/>
  </cols>
  <sheetData>
    <row r="3" spans="1:2" x14ac:dyDescent="0.3">
      <c r="A3" s="22" t="s">
        <v>186</v>
      </c>
      <c r="B3" t="s">
        <v>273</v>
      </c>
    </row>
    <row r="4" spans="1:2" x14ac:dyDescent="0.3">
      <c r="A4" s="5" t="s">
        <v>46</v>
      </c>
      <c r="B4">
        <v>55</v>
      </c>
    </row>
    <row r="5" spans="1:2" x14ac:dyDescent="0.3">
      <c r="A5" s="5" t="s">
        <v>27</v>
      </c>
      <c r="B5">
        <v>2</v>
      </c>
    </row>
    <row r="6" spans="1:2" x14ac:dyDescent="0.3">
      <c r="A6" s="5" t="s">
        <v>74</v>
      </c>
      <c r="B6">
        <v>113</v>
      </c>
    </row>
    <row r="7" spans="1:2" x14ac:dyDescent="0.3">
      <c r="A7" s="5" t="s">
        <v>57</v>
      </c>
      <c r="B7">
        <v>14</v>
      </c>
    </row>
    <row r="8" spans="1:2" x14ac:dyDescent="0.3">
      <c r="A8" s="5" t="s">
        <v>133</v>
      </c>
      <c r="B8">
        <v>46</v>
      </c>
    </row>
    <row r="9" spans="1:2" x14ac:dyDescent="0.3">
      <c r="A9" s="5" t="s">
        <v>160</v>
      </c>
      <c r="B9">
        <v>33</v>
      </c>
    </row>
    <row r="10" spans="1:2" x14ac:dyDescent="0.3">
      <c r="A10" s="5" t="s">
        <v>163</v>
      </c>
      <c r="B10">
        <v>26</v>
      </c>
    </row>
    <row r="11" spans="1:2" x14ac:dyDescent="0.3">
      <c r="A11" s="5" t="s">
        <v>22</v>
      </c>
      <c r="B11">
        <v>1</v>
      </c>
    </row>
    <row r="12" spans="1:2" x14ac:dyDescent="0.3">
      <c r="A12" s="5" t="s">
        <v>65</v>
      </c>
      <c r="B12">
        <v>72</v>
      </c>
    </row>
    <row r="13" spans="1:2" x14ac:dyDescent="0.3">
      <c r="A13" s="5" t="s">
        <v>118</v>
      </c>
      <c r="B13">
        <v>25</v>
      </c>
    </row>
    <row r="14" spans="1:2" x14ac:dyDescent="0.3">
      <c r="A14" s="5" t="s">
        <v>168</v>
      </c>
      <c r="B14">
        <v>4</v>
      </c>
    </row>
    <row r="15" spans="1:2" x14ac:dyDescent="0.3">
      <c r="A15" s="5" t="s">
        <v>93</v>
      </c>
      <c r="B15">
        <v>65</v>
      </c>
    </row>
    <row r="16" spans="1:2" x14ac:dyDescent="0.3">
      <c r="A16" s="5" t="s">
        <v>48</v>
      </c>
      <c r="B16">
        <v>79</v>
      </c>
    </row>
    <row r="17" spans="1:2" x14ac:dyDescent="0.3">
      <c r="A17" s="5" t="s">
        <v>47</v>
      </c>
      <c r="B17">
        <v>89</v>
      </c>
    </row>
    <row r="18" spans="1:2" x14ac:dyDescent="0.3">
      <c r="A18" s="5" t="s">
        <v>123</v>
      </c>
      <c r="B18">
        <v>68</v>
      </c>
    </row>
    <row r="19" spans="1:2" x14ac:dyDescent="0.3">
      <c r="A19" s="5" t="s">
        <v>169</v>
      </c>
      <c r="B19">
        <v>17</v>
      </c>
    </row>
    <row r="20" spans="1:2" x14ac:dyDescent="0.3">
      <c r="A20" s="5" t="s">
        <v>82</v>
      </c>
      <c r="B20">
        <v>62</v>
      </c>
    </row>
    <row r="21" spans="1:2" x14ac:dyDescent="0.3">
      <c r="A21" s="5" t="s">
        <v>67</v>
      </c>
      <c r="B21">
        <v>13</v>
      </c>
    </row>
    <row r="22" spans="1:2" x14ac:dyDescent="0.3">
      <c r="A22" s="5" t="s">
        <v>159</v>
      </c>
      <c r="B22">
        <v>52</v>
      </c>
    </row>
    <row r="23" spans="1:2" x14ac:dyDescent="0.3">
      <c r="A23" s="5" t="s">
        <v>155</v>
      </c>
      <c r="B23">
        <v>49</v>
      </c>
    </row>
    <row r="24" spans="1:2" x14ac:dyDescent="0.3">
      <c r="A24" s="5" t="s">
        <v>58</v>
      </c>
      <c r="B24">
        <v>63</v>
      </c>
    </row>
    <row r="25" spans="1:2" x14ac:dyDescent="0.3">
      <c r="A25" s="5" t="s">
        <v>70</v>
      </c>
      <c r="B25">
        <v>119</v>
      </c>
    </row>
    <row r="26" spans="1:2" x14ac:dyDescent="0.3">
      <c r="A26" s="5" t="s">
        <v>86</v>
      </c>
      <c r="B26">
        <v>86</v>
      </c>
    </row>
    <row r="27" spans="1:2" x14ac:dyDescent="0.3">
      <c r="A27" s="5" t="s">
        <v>24</v>
      </c>
      <c r="B27">
        <v>48</v>
      </c>
    </row>
    <row r="28" spans="1:2" x14ac:dyDescent="0.3">
      <c r="A28" s="5" t="s">
        <v>32</v>
      </c>
      <c r="B28">
        <v>140</v>
      </c>
    </row>
    <row r="29" spans="1:2" x14ac:dyDescent="0.3">
      <c r="A29" s="5" t="s">
        <v>170</v>
      </c>
      <c r="B29">
        <v>16</v>
      </c>
    </row>
    <row r="30" spans="1:2" x14ac:dyDescent="0.3">
      <c r="A30" s="5" t="s">
        <v>156</v>
      </c>
      <c r="B30">
        <v>19</v>
      </c>
    </row>
    <row r="31" spans="1:2" x14ac:dyDescent="0.3">
      <c r="A31" s="5" t="s">
        <v>173</v>
      </c>
      <c r="B31">
        <v>2</v>
      </c>
    </row>
    <row r="32" spans="1:2" x14ac:dyDescent="0.3">
      <c r="A32" s="5" t="s">
        <v>171</v>
      </c>
      <c r="B32">
        <v>6</v>
      </c>
    </row>
    <row r="33" spans="1:2" x14ac:dyDescent="0.3">
      <c r="A33" s="5" t="s">
        <v>162</v>
      </c>
      <c r="B33">
        <v>27</v>
      </c>
    </row>
    <row r="34" spans="1:2" x14ac:dyDescent="0.3">
      <c r="A34" s="5" t="s">
        <v>76</v>
      </c>
      <c r="B34">
        <v>27</v>
      </c>
    </row>
    <row r="35" spans="1:2" x14ac:dyDescent="0.3">
      <c r="A35" s="5" t="s">
        <v>26</v>
      </c>
      <c r="B35">
        <v>11</v>
      </c>
    </row>
    <row r="36" spans="1:2" x14ac:dyDescent="0.3">
      <c r="A36" s="5" t="s">
        <v>79</v>
      </c>
      <c r="B36">
        <v>63</v>
      </c>
    </row>
    <row r="37" spans="1:2" x14ac:dyDescent="0.3">
      <c r="A37" s="5" t="s">
        <v>92</v>
      </c>
      <c r="B37">
        <v>4</v>
      </c>
    </row>
    <row r="38" spans="1:2" x14ac:dyDescent="0.3">
      <c r="A38" s="5" t="s">
        <v>59</v>
      </c>
      <c r="B38">
        <v>4</v>
      </c>
    </row>
    <row r="39" spans="1:2" x14ac:dyDescent="0.3">
      <c r="A39" s="5" t="s">
        <v>34</v>
      </c>
      <c r="B39">
        <v>37</v>
      </c>
    </row>
    <row r="40" spans="1:2" x14ac:dyDescent="0.3">
      <c r="A40" s="5" t="s">
        <v>158</v>
      </c>
      <c r="B40">
        <v>45</v>
      </c>
    </row>
    <row r="41" spans="1:2" x14ac:dyDescent="0.3">
      <c r="A41" s="5" t="s">
        <v>174</v>
      </c>
      <c r="B41">
        <v>3</v>
      </c>
    </row>
    <row r="42" spans="1:2" x14ac:dyDescent="0.3">
      <c r="A42" s="5" t="s">
        <v>152</v>
      </c>
      <c r="B42">
        <v>122</v>
      </c>
    </row>
    <row r="43" spans="1:2" x14ac:dyDescent="0.3">
      <c r="A43" s="5" t="s">
        <v>164</v>
      </c>
      <c r="B43">
        <v>35</v>
      </c>
    </row>
    <row r="44" spans="1:2" x14ac:dyDescent="0.3">
      <c r="A44" s="5" t="s">
        <v>166</v>
      </c>
      <c r="B44">
        <v>28</v>
      </c>
    </row>
    <row r="45" spans="1:2" x14ac:dyDescent="0.3">
      <c r="A45" s="5" t="s">
        <v>72</v>
      </c>
      <c r="B45">
        <v>35</v>
      </c>
    </row>
    <row r="46" spans="1:2" x14ac:dyDescent="0.3">
      <c r="A46" s="5" t="s">
        <v>157</v>
      </c>
      <c r="B46">
        <v>52</v>
      </c>
    </row>
    <row r="47" spans="1:2" x14ac:dyDescent="0.3">
      <c r="A47" s="5" t="s">
        <v>167</v>
      </c>
      <c r="B47">
        <v>10</v>
      </c>
    </row>
    <row r="48" spans="1:2" x14ac:dyDescent="0.3">
      <c r="A48" s="5" t="s">
        <v>172</v>
      </c>
      <c r="B48">
        <v>1</v>
      </c>
    </row>
    <row r="49" spans="1:2" x14ac:dyDescent="0.3">
      <c r="A49" s="5" t="s">
        <v>165</v>
      </c>
      <c r="B49">
        <v>17</v>
      </c>
    </row>
    <row r="50" spans="1:2" x14ac:dyDescent="0.3">
      <c r="A50" s="5" t="s">
        <v>175</v>
      </c>
      <c r="B50">
        <v>73</v>
      </c>
    </row>
    <row r="51" spans="1:2" x14ac:dyDescent="0.3">
      <c r="A51" s="5" t="s">
        <v>23</v>
      </c>
      <c r="B51">
        <v>46</v>
      </c>
    </row>
    <row r="52" spans="1:2" x14ac:dyDescent="0.3">
      <c r="A52" s="5" t="s">
        <v>188</v>
      </c>
      <c r="B52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7A30-331D-4A12-9EE9-0A551107442E}">
  <sheetPr filterMode="1">
    <tabColor rgb="FF0070C0"/>
  </sheetPr>
  <dimension ref="A1:E201"/>
  <sheetViews>
    <sheetView zoomScale="85" zoomScaleNormal="85" workbookViewId="0">
      <selection activeCell="D201" sqref="D201"/>
    </sheetView>
  </sheetViews>
  <sheetFormatPr defaultRowHeight="14.4" x14ac:dyDescent="0.3"/>
  <cols>
    <col min="1" max="1" width="11.6640625" bestFit="1" customWidth="1"/>
    <col min="2" max="2" width="11.33203125" bestFit="1" customWidth="1"/>
    <col min="3" max="3" width="14.109375" bestFit="1" customWidth="1"/>
    <col min="4" max="4" width="15" style="13" bestFit="1" customWidth="1"/>
    <col min="5" max="5" width="12.21875" bestFit="1" customWidth="1"/>
  </cols>
  <sheetData>
    <row r="1" spans="1:5" x14ac:dyDescent="0.3">
      <c r="A1" s="8" t="s">
        <v>0</v>
      </c>
      <c r="B1" s="8" t="s">
        <v>2</v>
      </c>
      <c r="C1" s="8" t="s">
        <v>30</v>
      </c>
      <c r="D1" s="11" t="s">
        <v>150</v>
      </c>
      <c r="E1" s="8" t="s">
        <v>132</v>
      </c>
    </row>
    <row r="2" spans="1:5" hidden="1" x14ac:dyDescent="0.3">
      <c r="A2" s="9">
        <v>46211</v>
      </c>
      <c r="B2" s="10" t="s">
        <v>32</v>
      </c>
      <c r="C2" s="10" t="s">
        <v>145</v>
      </c>
      <c r="D2" s="12" t="s">
        <v>153</v>
      </c>
      <c r="E2" s="10">
        <v>12</v>
      </c>
    </row>
    <row r="3" spans="1:5" hidden="1" x14ac:dyDescent="0.3">
      <c r="A3" s="9">
        <v>46211</v>
      </c>
      <c r="B3" s="10" t="s">
        <v>79</v>
      </c>
      <c r="C3" s="10" t="s">
        <v>146</v>
      </c>
      <c r="D3" s="12" t="s">
        <v>153</v>
      </c>
      <c r="E3" s="10">
        <v>12</v>
      </c>
    </row>
    <row r="4" spans="1:5" hidden="1" x14ac:dyDescent="0.3">
      <c r="A4" s="9">
        <v>46211</v>
      </c>
      <c r="B4" s="10" t="s">
        <v>82</v>
      </c>
      <c r="C4" s="10" t="s">
        <v>147</v>
      </c>
      <c r="D4" s="12" t="s">
        <v>151</v>
      </c>
      <c r="E4" s="10">
        <v>9</v>
      </c>
    </row>
    <row r="5" spans="1:5" hidden="1" x14ac:dyDescent="0.3">
      <c r="A5" s="9">
        <v>46211</v>
      </c>
      <c r="B5" s="39" t="s">
        <v>175</v>
      </c>
      <c r="C5" s="10" t="s">
        <v>146</v>
      </c>
      <c r="D5" s="12" t="s">
        <v>151</v>
      </c>
      <c r="E5" s="10">
        <v>10</v>
      </c>
    </row>
    <row r="6" spans="1:5" hidden="1" x14ac:dyDescent="0.3">
      <c r="A6" s="9">
        <v>46211</v>
      </c>
      <c r="B6" s="10" t="s">
        <v>76</v>
      </c>
      <c r="C6" s="10" t="s">
        <v>146</v>
      </c>
      <c r="D6" s="12" t="s">
        <v>153</v>
      </c>
      <c r="E6" s="10">
        <v>14</v>
      </c>
    </row>
    <row r="7" spans="1:5" x14ac:dyDescent="0.3">
      <c r="A7" s="9">
        <v>46211</v>
      </c>
      <c r="B7" s="10" t="s">
        <v>48</v>
      </c>
      <c r="C7" s="10" t="s">
        <v>148</v>
      </c>
      <c r="D7" s="12" t="s">
        <v>151</v>
      </c>
      <c r="E7" s="65">
        <v>10</v>
      </c>
    </row>
    <row r="8" spans="1:5" hidden="1" x14ac:dyDescent="0.3">
      <c r="A8" s="9">
        <v>46211</v>
      </c>
      <c r="B8" s="10" t="s">
        <v>47</v>
      </c>
      <c r="C8" s="10" t="s">
        <v>147</v>
      </c>
      <c r="D8" s="12" t="s">
        <v>151</v>
      </c>
      <c r="E8" s="10">
        <v>5</v>
      </c>
    </row>
    <row r="9" spans="1:5" hidden="1" x14ac:dyDescent="0.3">
      <c r="A9" s="9">
        <v>46211</v>
      </c>
      <c r="B9" s="10" t="s">
        <v>70</v>
      </c>
      <c r="C9" s="10" t="s">
        <v>149</v>
      </c>
      <c r="D9" s="12" t="s">
        <v>151</v>
      </c>
      <c r="E9" s="10">
        <v>4</v>
      </c>
    </row>
    <row r="10" spans="1:5" hidden="1" x14ac:dyDescent="0.3">
      <c r="A10" s="9">
        <v>46211</v>
      </c>
      <c r="B10" s="10" t="s">
        <v>34</v>
      </c>
      <c r="C10" s="10" t="s">
        <v>149</v>
      </c>
      <c r="D10" s="12" t="s">
        <v>151</v>
      </c>
      <c r="E10" s="10">
        <v>5</v>
      </c>
    </row>
    <row r="11" spans="1:5" hidden="1" x14ac:dyDescent="0.3">
      <c r="A11" s="9">
        <v>46211</v>
      </c>
      <c r="B11" s="10" t="s">
        <v>86</v>
      </c>
      <c r="C11" s="10" t="s">
        <v>147</v>
      </c>
      <c r="D11" s="12" t="s">
        <v>151</v>
      </c>
      <c r="E11" s="10">
        <v>9</v>
      </c>
    </row>
    <row r="12" spans="1:5" hidden="1" x14ac:dyDescent="0.3">
      <c r="A12" s="9">
        <v>46211</v>
      </c>
      <c r="B12" s="10" t="s">
        <v>152</v>
      </c>
      <c r="C12" s="10" t="s">
        <v>149</v>
      </c>
      <c r="D12" s="12"/>
      <c r="E12" s="10">
        <v>12</v>
      </c>
    </row>
    <row r="13" spans="1:5" hidden="1" x14ac:dyDescent="0.3">
      <c r="A13" s="9">
        <v>46212</v>
      </c>
      <c r="B13" s="10" t="s">
        <v>79</v>
      </c>
      <c r="C13" s="10" t="s">
        <v>145</v>
      </c>
      <c r="D13" s="12" t="s">
        <v>153</v>
      </c>
      <c r="E13" s="10">
        <v>15</v>
      </c>
    </row>
    <row r="14" spans="1:5" hidden="1" x14ac:dyDescent="0.3">
      <c r="A14" s="9">
        <v>46212</v>
      </c>
      <c r="B14" s="10" t="s">
        <v>70</v>
      </c>
      <c r="C14" s="10" t="s">
        <v>149</v>
      </c>
      <c r="D14" s="12" t="s">
        <v>151</v>
      </c>
      <c r="E14" s="10">
        <v>13</v>
      </c>
    </row>
    <row r="15" spans="1:5" hidden="1" x14ac:dyDescent="0.3">
      <c r="A15" s="9">
        <v>46212</v>
      </c>
      <c r="B15" s="10" t="s">
        <v>76</v>
      </c>
      <c r="C15" s="10" t="s">
        <v>145</v>
      </c>
      <c r="D15" s="12" t="s">
        <v>153</v>
      </c>
      <c r="E15" s="10">
        <v>13</v>
      </c>
    </row>
    <row r="16" spans="1:5" hidden="1" x14ac:dyDescent="0.3">
      <c r="A16" s="9">
        <v>46212</v>
      </c>
      <c r="B16" s="10" t="s">
        <v>32</v>
      </c>
      <c r="C16" s="10" t="s">
        <v>145</v>
      </c>
      <c r="D16" s="12" t="s">
        <v>153</v>
      </c>
      <c r="E16" s="10">
        <v>13</v>
      </c>
    </row>
    <row r="17" spans="1:5" hidden="1" x14ac:dyDescent="0.3">
      <c r="A17" s="9">
        <v>46212</v>
      </c>
      <c r="B17" s="10" t="s">
        <v>58</v>
      </c>
      <c r="C17" s="10" t="s">
        <v>145</v>
      </c>
      <c r="D17" s="12" t="s">
        <v>151</v>
      </c>
      <c r="E17" s="10">
        <v>12</v>
      </c>
    </row>
    <row r="18" spans="1:5" hidden="1" x14ac:dyDescent="0.3">
      <c r="A18" s="9">
        <v>46212</v>
      </c>
      <c r="B18" s="10" t="s">
        <v>152</v>
      </c>
      <c r="C18" s="10" t="s">
        <v>149</v>
      </c>
      <c r="D18" s="12" t="s">
        <v>151</v>
      </c>
      <c r="E18" s="10">
        <v>14</v>
      </c>
    </row>
    <row r="19" spans="1:5" hidden="1" x14ac:dyDescent="0.3">
      <c r="A19" s="9">
        <v>46212</v>
      </c>
      <c r="B19" s="10" t="s">
        <v>47</v>
      </c>
      <c r="C19" s="10" t="s">
        <v>149</v>
      </c>
      <c r="D19" s="12" t="s">
        <v>151</v>
      </c>
      <c r="E19" s="10">
        <v>11</v>
      </c>
    </row>
    <row r="20" spans="1:5" hidden="1" x14ac:dyDescent="0.3">
      <c r="A20" s="9">
        <v>46212</v>
      </c>
      <c r="B20" s="10" t="s">
        <v>34</v>
      </c>
      <c r="C20" s="10" t="s">
        <v>149</v>
      </c>
      <c r="D20" s="12" t="s">
        <v>151</v>
      </c>
      <c r="E20" s="10">
        <v>11</v>
      </c>
    </row>
    <row r="21" spans="1:5" hidden="1" x14ac:dyDescent="0.3">
      <c r="A21" s="9">
        <v>46212</v>
      </c>
      <c r="B21" s="39" t="s">
        <v>175</v>
      </c>
      <c r="C21" s="10" t="s">
        <v>145</v>
      </c>
      <c r="D21" s="12" t="s">
        <v>151</v>
      </c>
      <c r="E21" s="10">
        <v>13</v>
      </c>
    </row>
    <row r="22" spans="1:5" hidden="1" x14ac:dyDescent="0.3">
      <c r="A22" s="9">
        <v>46212</v>
      </c>
      <c r="B22" s="10" t="s">
        <v>93</v>
      </c>
      <c r="C22" s="10" t="s">
        <v>145</v>
      </c>
      <c r="D22" s="12" t="s">
        <v>153</v>
      </c>
      <c r="E22" s="10">
        <v>12</v>
      </c>
    </row>
    <row r="23" spans="1:5" hidden="1" x14ac:dyDescent="0.3">
      <c r="A23" s="9">
        <v>46212</v>
      </c>
      <c r="B23" s="10" t="s">
        <v>86</v>
      </c>
      <c r="C23" s="10" t="s">
        <v>149</v>
      </c>
      <c r="D23" s="12" t="s">
        <v>151</v>
      </c>
      <c r="E23" s="10">
        <v>13</v>
      </c>
    </row>
    <row r="24" spans="1:5" x14ac:dyDescent="0.3">
      <c r="A24" s="9">
        <v>46212</v>
      </c>
      <c r="B24" s="10" t="s">
        <v>48</v>
      </c>
      <c r="C24" s="10" t="s">
        <v>154</v>
      </c>
      <c r="D24" s="12" t="s">
        <v>151</v>
      </c>
      <c r="E24" s="10">
        <v>12</v>
      </c>
    </row>
    <row r="25" spans="1:5" hidden="1" x14ac:dyDescent="0.3">
      <c r="A25" s="9">
        <v>46212</v>
      </c>
      <c r="B25" s="10" t="s">
        <v>82</v>
      </c>
      <c r="C25" s="10" t="s">
        <v>149</v>
      </c>
      <c r="D25" s="12" t="s">
        <v>151</v>
      </c>
      <c r="E25" s="10">
        <v>11</v>
      </c>
    </row>
    <row r="26" spans="1:5" hidden="1" x14ac:dyDescent="0.3">
      <c r="A26" s="9">
        <v>46212</v>
      </c>
      <c r="B26" s="10" t="s">
        <v>65</v>
      </c>
      <c r="C26" s="10" t="s">
        <v>149</v>
      </c>
      <c r="D26" s="12" t="s">
        <v>151</v>
      </c>
      <c r="E26" s="10">
        <v>10</v>
      </c>
    </row>
    <row r="27" spans="1:5" hidden="1" x14ac:dyDescent="0.3">
      <c r="A27" s="9">
        <v>46212</v>
      </c>
      <c r="B27" s="10" t="s">
        <v>26</v>
      </c>
      <c r="C27" s="10" t="s">
        <v>145</v>
      </c>
      <c r="D27" s="12" t="s">
        <v>153</v>
      </c>
      <c r="E27" s="10">
        <v>11</v>
      </c>
    </row>
    <row r="28" spans="1:5" hidden="1" x14ac:dyDescent="0.3">
      <c r="A28" s="9">
        <v>46212</v>
      </c>
      <c r="B28" s="10" t="s">
        <v>46</v>
      </c>
      <c r="C28" s="10" t="s">
        <v>149</v>
      </c>
      <c r="D28" s="12" t="s">
        <v>151</v>
      </c>
      <c r="E28" s="10">
        <v>9</v>
      </c>
    </row>
    <row r="29" spans="1:5" hidden="1" x14ac:dyDescent="0.3">
      <c r="A29" s="9">
        <v>46212</v>
      </c>
      <c r="B29" s="10" t="s">
        <v>74</v>
      </c>
      <c r="C29" s="10" t="s">
        <v>149</v>
      </c>
      <c r="D29" s="12" t="s">
        <v>151</v>
      </c>
      <c r="E29" s="10">
        <v>12</v>
      </c>
    </row>
    <row r="30" spans="1:5" hidden="1" x14ac:dyDescent="0.3">
      <c r="A30" s="9">
        <v>46216</v>
      </c>
      <c r="B30" s="10" t="s">
        <v>118</v>
      </c>
      <c r="C30" s="10" t="s">
        <v>149</v>
      </c>
      <c r="D30" s="12" t="s">
        <v>151</v>
      </c>
      <c r="E30" s="10">
        <v>4</v>
      </c>
    </row>
    <row r="31" spans="1:5" hidden="1" x14ac:dyDescent="0.3">
      <c r="A31" s="9">
        <v>46216</v>
      </c>
      <c r="B31" s="38" t="s">
        <v>46</v>
      </c>
      <c r="C31" s="10" t="s">
        <v>145</v>
      </c>
      <c r="D31" s="12"/>
      <c r="E31" s="10">
        <v>10</v>
      </c>
    </row>
    <row r="32" spans="1:5" hidden="1" x14ac:dyDescent="0.3">
      <c r="A32" s="9">
        <v>46216</v>
      </c>
      <c r="B32" s="10" t="s">
        <v>74</v>
      </c>
      <c r="C32" s="10" t="s">
        <v>149</v>
      </c>
      <c r="D32" s="12" t="s">
        <v>151</v>
      </c>
      <c r="E32" s="10">
        <v>13</v>
      </c>
    </row>
    <row r="33" spans="1:5" hidden="1" x14ac:dyDescent="0.3">
      <c r="A33" s="9">
        <v>46216</v>
      </c>
      <c r="B33" s="10" t="s">
        <v>155</v>
      </c>
      <c r="C33" s="10" t="s">
        <v>149</v>
      </c>
      <c r="D33" s="12" t="s">
        <v>151</v>
      </c>
      <c r="E33" s="10">
        <v>11</v>
      </c>
    </row>
    <row r="34" spans="1:5" hidden="1" x14ac:dyDescent="0.3">
      <c r="A34" s="9">
        <v>46216</v>
      </c>
      <c r="B34" s="10" t="s">
        <v>156</v>
      </c>
      <c r="C34" s="10" t="s">
        <v>149</v>
      </c>
      <c r="D34" s="12" t="s">
        <v>151</v>
      </c>
      <c r="E34" s="10">
        <v>12</v>
      </c>
    </row>
    <row r="35" spans="1:5" hidden="1" x14ac:dyDescent="0.3">
      <c r="A35" s="9">
        <v>46216</v>
      </c>
      <c r="B35" s="10" t="s">
        <v>157</v>
      </c>
      <c r="C35" s="10" t="s">
        <v>149</v>
      </c>
      <c r="D35" s="12" t="s">
        <v>151</v>
      </c>
      <c r="E35" s="10">
        <v>13</v>
      </c>
    </row>
    <row r="36" spans="1:5" hidden="1" x14ac:dyDescent="0.3">
      <c r="A36" s="9">
        <v>46216</v>
      </c>
      <c r="B36" s="10" t="s">
        <v>158</v>
      </c>
      <c r="C36" s="10" t="s">
        <v>149</v>
      </c>
      <c r="D36" s="12" t="s">
        <v>151</v>
      </c>
      <c r="E36" s="10">
        <v>13</v>
      </c>
    </row>
    <row r="37" spans="1:5" hidden="1" x14ac:dyDescent="0.3">
      <c r="A37" s="9">
        <v>46216</v>
      </c>
      <c r="B37" s="10" t="s">
        <v>86</v>
      </c>
      <c r="C37" s="10" t="s">
        <v>149</v>
      </c>
      <c r="D37" s="12" t="s">
        <v>151</v>
      </c>
      <c r="E37" s="10">
        <v>13</v>
      </c>
    </row>
    <row r="38" spans="1:5" hidden="1" x14ac:dyDescent="0.3">
      <c r="A38" s="9">
        <v>46216</v>
      </c>
      <c r="B38" s="39" t="s">
        <v>175</v>
      </c>
      <c r="C38" s="10" t="s">
        <v>145</v>
      </c>
      <c r="D38" s="12" t="s">
        <v>151</v>
      </c>
      <c r="E38" s="10">
        <v>12</v>
      </c>
    </row>
    <row r="39" spans="1:5" hidden="1" x14ac:dyDescent="0.3">
      <c r="A39" s="9">
        <v>46216</v>
      </c>
      <c r="B39" s="10" t="s">
        <v>65</v>
      </c>
      <c r="C39" s="10" t="s">
        <v>149</v>
      </c>
      <c r="D39" s="12" t="s">
        <v>151</v>
      </c>
      <c r="E39" s="10">
        <v>12</v>
      </c>
    </row>
    <row r="40" spans="1:5" hidden="1" x14ac:dyDescent="0.3">
      <c r="A40" s="9">
        <v>46216</v>
      </c>
      <c r="B40" s="10" t="s">
        <v>82</v>
      </c>
      <c r="C40" s="10" t="s">
        <v>149</v>
      </c>
      <c r="D40" s="12" t="s">
        <v>151</v>
      </c>
      <c r="E40" s="10">
        <v>12</v>
      </c>
    </row>
    <row r="41" spans="1:5" hidden="1" x14ac:dyDescent="0.3">
      <c r="A41" s="9">
        <v>46216</v>
      </c>
      <c r="B41" s="10" t="s">
        <v>70</v>
      </c>
      <c r="C41" s="10" t="s">
        <v>149</v>
      </c>
      <c r="D41" s="12" t="s">
        <v>151</v>
      </c>
      <c r="E41" s="10">
        <v>12</v>
      </c>
    </row>
    <row r="42" spans="1:5" hidden="1" x14ac:dyDescent="0.3">
      <c r="A42" s="9">
        <v>46216</v>
      </c>
      <c r="B42" s="10" t="s">
        <v>93</v>
      </c>
      <c r="C42" s="10" t="s">
        <v>145</v>
      </c>
      <c r="D42" s="12" t="s">
        <v>153</v>
      </c>
      <c r="E42" s="10">
        <v>14</v>
      </c>
    </row>
    <row r="43" spans="1:5" hidden="1" x14ac:dyDescent="0.3">
      <c r="A43" s="9">
        <v>46216</v>
      </c>
      <c r="B43" s="10" t="s">
        <v>47</v>
      </c>
      <c r="C43" s="10" t="s">
        <v>149</v>
      </c>
      <c r="D43" s="12" t="s">
        <v>151</v>
      </c>
      <c r="E43" s="10">
        <v>16</v>
      </c>
    </row>
    <row r="44" spans="1:5" hidden="1" x14ac:dyDescent="0.3">
      <c r="A44" s="9">
        <v>46216</v>
      </c>
      <c r="B44" s="10" t="s">
        <v>58</v>
      </c>
      <c r="C44" s="10" t="s">
        <v>145</v>
      </c>
      <c r="D44" s="12" t="s">
        <v>151</v>
      </c>
      <c r="E44" s="10">
        <v>13</v>
      </c>
    </row>
    <row r="45" spans="1:5" hidden="1" x14ac:dyDescent="0.3">
      <c r="A45" s="9">
        <v>46216</v>
      </c>
      <c r="B45" s="10" t="s">
        <v>152</v>
      </c>
      <c r="C45" s="10" t="s">
        <v>149</v>
      </c>
      <c r="D45" s="12" t="s">
        <v>151</v>
      </c>
      <c r="E45" s="10">
        <v>14</v>
      </c>
    </row>
    <row r="46" spans="1:5" hidden="1" x14ac:dyDescent="0.3">
      <c r="A46" s="9">
        <v>46216</v>
      </c>
      <c r="B46" s="39" t="s">
        <v>32</v>
      </c>
      <c r="C46" s="10" t="s">
        <v>154</v>
      </c>
      <c r="D46" s="12" t="s">
        <v>151</v>
      </c>
      <c r="E46" s="10">
        <v>12</v>
      </c>
    </row>
    <row r="47" spans="1:5" hidden="1" x14ac:dyDescent="0.3">
      <c r="A47" s="9">
        <v>46216</v>
      </c>
      <c r="B47" s="10" t="s">
        <v>159</v>
      </c>
      <c r="C47" s="10" t="s">
        <v>149</v>
      </c>
      <c r="D47" s="12"/>
      <c r="E47" s="10">
        <v>15</v>
      </c>
    </row>
    <row r="48" spans="1:5" hidden="1" x14ac:dyDescent="0.3">
      <c r="A48" s="9">
        <v>46216</v>
      </c>
      <c r="B48" s="10" t="s">
        <v>123</v>
      </c>
      <c r="C48" s="10" t="s">
        <v>149</v>
      </c>
      <c r="D48" s="12" t="s">
        <v>151</v>
      </c>
      <c r="E48" s="10">
        <v>14</v>
      </c>
    </row>
    <row r="49" spans="1:5" hidden="1" x14ac:dyDescent="0.3">
      <c r="A49" s="9">
        <v>46216</v>
      </c>
      <c r="B49" s="10" t="s">
        <v>72</v>
      </c>
      <c r="C49" s="10" t="s">
        <v>149</v>
      </c>
      <c r="D49" s="12" t="s">
        <v>151</v>
      </c>
      <c r="E49" s="10">
        <v>10</v>
      </c>
    </row>
    <row r="50" spans="1:5" hidden="1" x14ac:dyDescent="0.3">
      <c r="A50" s="9">
        <v>46216</v>
      </c>
      <c r="B50" s="10" t="s">
        <v>23</v>
      </c>
      <c r="C50" s="10" t="s">
        <v>149</v>
      </c>
      <c r="D50" s="12" t="s">
        <v>151</v>
      </c>
      <c r="E50" s="10">
        <v>17</v>
      </c>
    </row>
    <row r="51" spans="1:5" hidden="1" x14ac:dyDescent="0.3">
      <c r="A51" s="9">
        <v>46216</v>
      </c>
      <c r="B51" s="10" t="s">
        <v>160</v>
      </c>
      <c r="C51" s="10" t="s">
        <v>149</v>
      </c>
      <c r="D51" s="12"/>
      <c r="E51" s="10">
        <v>8</v>
      </c>
    </row>
    <row r="52" spans="1:5" hidden="1" x14ac:dyDescent="0.3">
      <c r="A52" s="18">
        <v>46216</v>
      </c>
      <c r="B52" s="40" t="s">
        <v>32</v>
      </c>
      <c r="C52" s="41" t="s">
        <v>145</v>
      </c>
      <c r="D52" s="42" t="s">
        <v>153</v>
      </c>
      <c r="E52" s="41">
        <v>14</v>
      </c>
    </row>
    <row r="53" spans="1:5" hidden="1" x14ac:dyDescent="0.3">
      <c r="A53" s="9">
        <v>46216</v>
      </c>
      <c r="B53" s="10" t="s">
        <v>152</v>
      </c>
      <c r="C53" s="10" t="s">
        <v>149</v>
      </c>
      <c r="D53" s="12" t="s">
        <v>151</v>
      </c>
      <c r="E53" s="10">
        <v>12</v>
      </c>
    </row>
    <row r="54" spans="1:5" hidden="1" x14ac:dyDescent="0.3">
      <c r="A54" s="9">
        <v>46216</v>
      </c>
      <c r="B54" s="10" t="s">
        <v>133</v>
      </c>
      <c r="C54" s="10" t="s">
        <v>161</v>
      </c>
      <c r="D54" s="12" t="s">
        <v>151</v>
      </c>
      <c r="E54" s="10">
        <v>13</v>
      </c>
    </row>
    <row r="55" spans="1:5" hidden="1" x14ac:dyDescent="0.3">
      <c r="A55" s="9">
        <v>46216</v>
      </c>
      <c r="B55" s="10" t="s">
        <v>70</v>
      </c>
      <c r="C55" s="10" t="s">
        <v>149</v>
      </c>
      <c r="D55" s="12" t="s">
        <v>151</v>
      </c>
      <c r="E55" s="10">
        <v>14</v>
      </c>
    </row>
    <row r="56" spans="1:5" hidden="1" x14ac:dyDescent="0.3">
      <c r="A56" s="9">
        <v>46216</v>
      </c>
      <c r="B56" s="10" t="s">
        <v>162</v>
      </c>
      <c r="C56" s="10" t="s">
        <v>154</v>
      </c>
      <c r="D56" s="12" t="s">
        <v>151</v>
      </c>
      <c r="E56" s="10">
        <v>6</v>
      </c>
    </row>
    <row r="57" spans="1:5" hidden="1" x14ac:dyDescent="0.3">
      <c r="A57" s="9">
        <v>46216</v>
      </c>
      <c r="B57" s="10" t="s">
        <v>163</v>
      </c>
      <c r="C57" s="10" t="s">
        <v>149</v>
      </c>
      <c r="D57" s="12"/>
      <c r="E57" s="10">
        <v>6</v>
      </c>
    </row>
    <row r="58" spans="1:5" hidden="1" x14ac:dyDescent="0.3">
      <c r="A58" s="9">
        <v>46216</v>
      </c>
      <c r="B58" s="10" t="s">
        <v>164</v>
      </c>
      <c r="C58" s="10" t="s">
        <v>145</v>
      </c>
      <c r="D58" s="12" t="s">
        <v>153</v>
      </c>
      <c r="E58" s="10">
        <v>7</v>
      </c>
    </row>
    <row r="59" spans="1:5" hidden="1" x14ac:dyDescent="0.3">
      <c r="A59" s="9">
        <v>46216</v>
      </c>
      <c r="B59" s="10" t="s">
        <v>165</v>
      </c>
      <c r="C59" s="10" t="s">
        <v>149</v>
      </c>
      <c r="D59" s="12" t="s">
        <v>151</v>
      </c>
      <c r="E59" s="10">
        <v>6</v>
      </c>
    </row>
    <row r="60" spans="1:5" hidden="1" x14ac:dyDescent="0.3">
      <c r="A60" s="9">
        <v>46216</v>
      </c>
      <c r="B60" s="10" t="s">
        <v>166</v>
      </c>
      <c r="C60" s="10" t="s">
        <v>149</v>
      </c>
      <c r="D60" s="12" t="s">
        <v>153</v>
      </c>
      <c r="E60" s="10">
        <v>7</v>
      </c>
    </row>
    <row r="61" spans="1:5" x14ac:dyDescent="0.3">
      <c r="A61" s="9">
        <v>46216</v>
      </c>
      <c r="B61" s="10" t="s">
        <v>48</v>
      </c>
      <c r="C61" s="10" t="s">
        <v>154</v>
      </c>
      <c r="D61" s="12" t="s">
        <v>151</v>
      </c>
      <c r="E61" s="10">
        <v>7</v>
      </c>
    </row>
    <row r="62" spans="1:5" hidden="1" x14ac:dyDescent="0.3">
      <c r="A62" s="9">
        <v>46216</v>
      </c>
      <c r="B62" s="10" t="s">
        <v>167</v>
      </c>
      <c r="C62" s="10" t="s">
        <v>149</v>
      </c>
      <c r="D62" s="12"/>
      <c r="E62" s="10">
        <v>1</v>
      </c>
    </row>
    <row r="63" spans="1:5" hidden="1" x14ac:dyDescent="0.3">
      <c r="A63" s="9">
        <v>46216</v>
      </c>
      <c r="B63" s="10" t="s">
        <v>24</v>
      </c>
      <c r="C63" s="10" t="s">
        <v>149</v>
      </c>
      <c r="D63" s="12" t="s">
        <v>151</v>
      </c>
      <c r="E63" s="10">
        <v>16</v>
      </c>
    </row>
    <row r="64" spans="1:5" hidden="1" x14ac:dyDescent="0.3">
      <c r="A64" s="9">
        <v>46216</v>
      </c>
      <c r="B64" s="10" t="s">
        <v>168</v>
      </c>
      <c r="C64" s="10" t="s">
        <v>149</v>
      </c>
      <c r="D64" s="12"/>
      <c r="E64" s="10">
        <v>4</v>
      </c>
    </row>
    <row r="65" spans="1:5" x14ac:dyDescent="0.3">
      <c r="A65" s="9">
        <v>46216</v>
      </c>
      <c r="B65" s="10" t="s">
        <v>48</v>
      </c>
      <c r="C65" s="10" t="s">
        <v>154</v>
      </c>
      <c r="D65" s="12" t="s">
        <v>151</v>
      </c>
      <c r="E65" s="10">
        <v>11</v>
      </c>
    </row>
    <row r="66" spans="1:5" hidden="1" x14ac:dyDescent="0.3">
      <c r="A66" s="9">
        <v>46217</v>
      </c>
      <c r="B66" s="10" t="s">
        <v>47</v>
      </c>
      <c r="C66" s="10" t="s">
        <v>149</v>
      </c>
      <c r="D66" s="12" t="s">
        <v>151</v>
      </c>
      <c r="E66" s="10">
        <v>14</v>
      </c>
    </row>
    <row r="67" spans="1:5" x14ac:dyDescent="0.3">
      <c r="A67" s="9">
        <v>46217</v>
      </c>
      <c r="B67" s="10" t="s">
        <v>48</v>
      </c>
      <c r="C67" s="10" t="s">
        <v>154</v>
      </c>
      <c r="D67" s="12" t="s">
        <v>151</v>
      </c>
      <c r="E67" s="10">
        <v>12</v>
      </c>
    </row>
    <row r="68" spans="1:5" hidden="1" x14ac:dyDescent="0.3">
      <c r="A68" s="9">
        <v>46217</v>
      </c>
      <c r="B68" s="10" t="s">
        <v>74</v>
      </c>
      <c r="C68" s="10" t="s">
        <v>149</v>
      </c>
      <c r="D68" s="12" t="s">
        <v>151</v>
      </c>
      <c r="E68" s="10">
        <v>13</v>
      </c>
    </row>
    <row r="69" spans="1:5" hidden="1" x14ac:dyDescent="0.3">
      <c r="A69" s="9">
        <v>46217</v>
      </c>
      <c r="B69" s="10" t="s">
        <v>123</v>
      </c>
      <c r="C69" s="10" t="s">
        <v>149</v>
      </c>
      <c r="D69" s="12" t="s">
        <v>151</v>
      </c>
      <c r="E69" s="10">
        <v>14</v>
      </c>
    </row>
    <row r="70" spans="1:5" hidden="1" x14ac:dyDescent="0.3">
      <c r="A70" s="9">
        <v>46217</v>
      </c>
      <c r="B70" s="10" t="s">
        <v>34</v>
      </c>
      <c r="C70" s="10" t="s">
        <v>149</v>
      </c>
      <c r="D70" s="12" t="s">
        <v>151</v>
      </c>
      <c r="E70" s="10">
        <v>7</v>
      </c>
    </row>
    <row r="71" spans="1:5" hidden="1" x14ac:dyDescent="0.3">
      <c r="A71" s="9">
        <v>46217</v>
      </c>
      <c r="B71" s="10" t="s">
        <v>58</v>
      </c>
      <c r="C71" s="10" t="s">
        <v>145</v>
      </c>
      <c r="D71" s="12" t="s">
        <v>151</v>
      </c>
      <c r="E71" s="10">
        <v>12</v>
      </c>
    </row>
    <row r="72" spans="1:5" hidden="1" x14ac:dyDescent="0.3">
      <c r="A72" s="9">
        <v>46217</v>
      </c>
      <c r="B72" s="10" t="s">
        <v>152</v>
      </c>
      <c r="C72" s="10" t="s">
        <v>149</v>
      </c>
      <c r="D72" s="12" t="s">
        <v>151</v>
      </c>
      <c r="E72" s="10">
        <v>13</v>
      </c>
    </row>
    <row r="73" spans="1:5" hidden="1" x14ac:dyDescent="0.3">
      <c r="A73" s="9">
        <v>46217</v>
      </c>
      <c r="B73" s="10" t="s">
        <v>32</v>
      </c>
      <c r="C73" s="10" t="s">
        <v>145</v>
      </c>
      <c r="D73" s="12" t="s">
        <v>153</v>
      </c>
      <c r="E73" s="10">
        <v>14</v>
      </c>
    </row>
    <row r="74" spans="1:5" hidden="1" x14ac:dyDescent="0.3">
      <c r="A74" s="9">
        <v>46217</v>
      </c>
      <c r="B74" s="10" t="s">
        <v>70</v>
      </c>
      <c r="C74" s="10" t="s">
        <v>149</v>
      </c>
      <c r="D74" s="12" t="s">
        <v>151</v>
      </c>
      <c r="E74" s="10">
        <v>12</v>
      </c>
    </row>
    <row r="75" spans="1:5" hidden="1" x14ac:dyDescent="0.3">
      <c r="A75" s="9">
        <v>46217</v>
      </c>
      <c r="B75" s="10" t="s">
        <v>93</v>
      </c>
      <c r="C75" s="10" t="s">
        <v>145</v>
      </c>
      <c r="D75" s="12" t="s">
        <v>153</v>
      </c>
      <c r="E75" s="10">
        <v>14</v>
      </c>
    </row>
    <row r="76" spans="1:5" hidden="1" x14ac:dyDescent="0.3">
      <c r="A76" s="9">
        <v>46217</v>
      </c>
      <c r="B76" s="10" t="s">
        <v>82</v>
      </c>
      <c r="C76" s="10" t="s">
        <v>149</v>
      </c>
      <c r="D76" s="12" t="s">
        <v>151</v>
      </c>
      <c r="E76" s="10">
        <v>12</v>
      </c>
    </row>
    <row r="77" spans="1:5" hidden="1" x14ac:dyDescent="0.3">
      <c r="A77" s="9">
        <v>46217</v>
      </c>
      <c r="B77" s="10" t="s">
        <v>157</v>
      </c>
      <c r="C77" s="10" t="s">
        <v>149</v>
      </c>
      <c r="D77" s="12" t="s">
        <v>151</v>
      </c>
      <c r="E77" s="10">
        <v>12</v>
      </c>
    </row>
    <row r="78" spans="1:5" hidden="1" x14ac:dyDescent="0.3">
      <c r="A78" s="9">
        <v>46217</v>
      </c>
      <c r="B78" s="10" t="s">
        <v>158</v>
      </c>
      <c r="C78" s="10" t="s">
        <v>149</v>
      </c>
      <c r="D78" s="12" t="s">
        <v>151</v>
      </c>
      <c r="E78" s="10">
        <v>12</v>
      </c>
    </row>
    <row r="79" spans="1:5" hidden="1" x14ac:dyDescent="0.3">
      <c r="A79" s="9">
        <v>46217</v>
      </c>
      <c r="B79" s="10" t="s">
        <v>86</v>
      </c>
      <c r="C79" s="10" t="s">
        <v>149</v>
      </c>
      <c r="D79" s="12" t="s">
        <v>151</v>
      </c>
      <c r="E79" s="10">
        <v>12</v>
      </c>
    </row>
    <row r="80" spans="1:5" hidden="1" x14ac:dyDescent="0.3">
      <c r="A80" s="9">
        <v>46217</v>
      </c>
      <c r="B80" s="10" t="s">
        <v>65</v>
      </c>
      <c r="C80" s="10" t="s">
        <v>149</v>
      </c>
      <c r="D80" s="12" t="s">
        <v>151</v>
      </c>
      <c r="E80" s="10">
        <v>12</v>
      </c>
    </row>
    <row r="81" spans="1:5" hidden="1" x14ac:dyDescent="0.3">
      <c r="A81" s="9">
        <v>46217</v>
      </c>
      <c r="B81" s="10" t="s">
        <v>46</v>
      </c>
      <c r="C81" s="10" t="s">
        <v>149</v>
      </c>
      <c r="D81" s="12"/>
      <c r="E81" s="10">
        <v>12</v>
      </c>
    </row>
    <row r="82" spans="1:5" hidden="1" x14ac:dyDescent="0.3">
      <c r="A82" s="9">
        <v>46217</v>
      </c>
      <c r="B82" s="10" t="s">
        <v>79</v>
      </c>
      <c r="C82" s="10"/>
      <c r="D82" s="12"/>
      <c r="E82" s="10">
        <v>12</v>
      </c>
    </row>
    <row r="83" spans="1:5" hidden="1" x14ac:dyDescent="0.3">
      <c r="A83" s="9">
        <v>46217</v>
      </c>
      <c r="B83" s="10" t="s">
        <v>118</v>
      </c>
      <c r="C83" s="10" t="s">
        <v>149</v>
      </c>
      <c r="D83" s="12"/>
      <c r="E83" s="10">
        <v>7</v>
      </c>
    </row>
    <row r="84" spans="1:5" hidden="1" x14ac:dyDescent="0.3">
      <c r="A84" s="9">
        <v>46217</v>
      </c>
      <c r="B84" s="39" t="s">
        <v>175</v>
      </c>
      <c r="C84" s="10" t="s">
        <v>149</v>
      </c>
      <c r="D84" s="12"/>
      <c r="E84" s="10">
        <v>13</v>
      </c>
    </row>
    <row r="85" spans="1:5" hidden="1" x14ac:dyDescent="0.3">
      <c r="A85" s="9">
        <v>46217</v>
      </c>
      <c r="B85" s="10" t="s">
        <v>155</v>
      </c>
      <c r="C85" s="10" t="s">
        <v>149</v>
      </c>
      <c r="D85" s="12" t="s">
        <v>151</v>
      </c>
      <c r="E85" s="10">
        <v>11</v>
      </c>
    </row>
    <row r="86" spans="1:5" hidden="1" x14ac:dyDescent="0.3">
      <c r="A86" s="9">
        <v>46217</v>
      </c>
      <c r="B86" s="10" t="s">
        <v>156</v>
      </c>
      <c r="C86" s="10" t="s">
        <v>149</v>
      </c>
      <c r="D86" s="12" t="s">
        <v>151</v>
      </c>
      <c r="E86" s="10">
        <v>7</v>
      </c>
    </row>
    <row r="87" spans="1:5" hidden="1" x14ac:dyDescent="0.3">
      <c r="A87" s="9">
        <v>46217</v>
      </c>
      <c r="B87" s="10" t="s">
        <v>169</v>
      </c>
      <c r="C87" s="10" t="s">
        <v>149</v>
      </c>
      <c r="D87" s="12"/>
      <c r="E87" s="10">
        <v>4</v>
      </c>
    </row>
    <row r="88" spans="1:5" hidden="1" x14ac:dyDescent="0.3">
      <c r="A88" s="9">
        <v>46217</v>
      </c>
      <c r="B88" s="10" t="s">
        <v>159</v>
      </c>
      <c r="C88" s="10" t="s">
        <v>149</v>
      </c>
      <c r="D88" s="12"/>
      <c r="E88" s="10">
        <v>12</v>
      </c>
    </row>
    <row r="89" spans="1:5" hidden="1" x14ac:dyDescent="0.3">
      <c r="A89" s="9">
        <v>46217</v>
      </c>
      <c r="B89" s="10" t="s">
        <v>65</v>
      </c>
      <c r="C89" s="10" t="s">
        <v>149</v>
      </c>
      <c r="D89" s="12"/>
      <c r="E89" s="10">
        <v>1</v>
      </c>
    </row>
    <row r="90" spans="1:5" hidden="1" x14ac:dyDescent="0.3">
      <c r="A90" s="9">
        <v>46217</v>
      </c>
      <c r="B90" s="10" t="s">
        <v>165</v>
      </c>
      <c r="C90" s="10" t="s">
        <v>149</v>
      </c>
      <c r="D90" s="12" t="s">
        <v>151</v>
      </c>
      <c r="E90" s="10">
        <v>7</v>
      </c>
    </row>
    <row r="91" spans="1:5" hidden="1" x14ac:dyDescent="0.3">
      <c r="A91" s="9">
        <v>46217</v>
      </c>
      <c r="B91" s="10" t="s">
        <v>160</v>
      </c>
      <c r="C91" s="10" t="s">
        <v>149</v>
      </c>
      <c r="D91" s="12" t="s">
        <v>151</v>
      </c>
      <c r="E91" s="10">
        <v>7</v>
      </c>
    </row>
    <row r="92" spans="1:5" hidden="1" x14ac:dyDescent="0.3">
      <c r="A92" s="9">
        <v>46217</v>
      </c>
      <c r="B92" s="10" t="s">
        <v>170</v>
      </c>
      <c r="C92" s="10" t="s">
        <v>149</v>
      </c>
      <c r="D92" s="12" t="s">
        <v>151</v>
      </c>
      <c r="E92" s="10">
        <v>16</v>
      </c>
    </row>
    <row r="93" spans="1:5" hidden="1" x14ac:dyDescent="0.3">
      <c r="A93" s="9">
        <v>46217</v>
      </c>
      <c r="B93" s="10" t="s">
        <v>32</v>
      </c>
      <c r="C93" s="10" t="s">
        <v>145</v>
      </c>
      <c r="D93" s="12"/>
      <c r="E93" s="10">
        <v>12</v>
      </c>
    </row>
    <row r="94" spans="1:5" hidden="1" x14ac:dyDescent="0.3">
      <c r="A94" s="9">
        <v>46217</v>
      </c>
      <c r="B94" s="10" t="s">
        <v>23</v>
      </c>
      <c r="C94" s="10" t="s">
        <v>149</v>
      </c>
      <c r="D94" s="12" t="s">
        <v>151</v>
      </c>
      <c r="E94" s="10">
        <v>10</v>
      </c>
    </row>
    <row r="95" spans="1:5" x14ac:dyDescent="0.3">
      <c r="A95" s="9">
        <v>46217</v>
      </c>
      <c r="B95" s="10" t="s">
        <v>48</v>
      </c>
      <c r="C95" s="10" t="s">
        <v>154</v>
      </c>
      <c r="D95" s="12" t="s">
        <v>151</v>
      </c>
      <c r="E95" s="10">
        <v>6</v>
      </c>
    </row>
    <row r="96" spans="1:5" hidden="1" x14ac:dyDescent="0.3">
      <c r="A96" s="9">
        <v>46217</v>
      </c>
      <c r="B96" s="10" t="s">
        <v>163</v>
      </c>
      <c r="C96" s="10" t="s">
        <v>149</v>
      </c>
      <c r="D96" s="12"/>
      <c r="E96" s="10">
        <v>6</v>
      </c>
    </row>
    <row r="97" spans="1:5" hidden="1" x14ac:dyDescent="0.3">
      <c r="A97" s="9">
        <v>46217</v>
      </c>
      <c r="B97" s="10" t="s">
        <v>70</v>
      </c>
      <c r="C97" s="10" t="s">
        <v>149</v>
      </c>
      <c r="D97" s="12" t="s">
        <v>151</v>
      </c>
      <c r="E97" s="10">
        <v>12</v>
      </c>
    </row>
    <row r="98" spans="1:5" hidden="1" x14ac:dyDescent="0.3">
      <c r="A98" s="9">
        <v>46217</v>
      </c>
      <c r="B98" s="10" t="s">
        <v>133</v>
      </c>
      <c r="C98" s="10" t="s">
        <v>161</v>
      </c>
      <c r="D98" s="12" t="s">
        <v>151</v>
      </c>
      <c r="E98" s="10">
        <v>11</v>
      </c>
    </row>
    <row r="99" spans="1:5" hidden="1" x14ac:dyDescent="0.3">
      <c r="A99" s="9">
        <v>46217</v>
      </c>
      <c r="B99" s="10" t="s">
        <v>166</v>
      </c>
      <c r="C99" s="10" t="s">
        <v>149</v>
      </c>
      <c r="D99" s="12" t="s">
        <v>153</v>
      </c>
      <c r="E99" s="10">
        <v>5</v>
      </c>
    </row>
    <row r="100" spans="1:5" hidden="1" x14ac:dyDescent="0.3">
      <c r="A100" s="9">
        <v>46217</v>
      </c>
      <c r="B100" s="10" t="s">
        <v>152</v>
      </c>
      <c r="C100" s="10" t="s">
        <v>149</v>
      </c>
      <c r="D100" s="12" t="s">
        <v>151</v>
      </c>
      <c r="E100" s="10">
        <v>6</v>
      </c>
    </row>
    <row r="101" spans="1:5" hidden="1" x14ac:dyDescent="0.3">
      <c r="A101" s="9">
        <v>46217</v>
      </c>
      <c r="B101" s="10" t="s">
        <v>74</v>
      </c>
      <c r="C101" s="10" t="s">
        <v>149</v>
      </c>
      <c r="D101" s="12" t="s">
        <v>151</v>
      </c>
      <c r="E101" s="10">
        <v>10</v>
      </c>
    </row>
    <row r="102" spans="1:5" hidden="1" x14ac:dyDescent="0.3">
      <c r="A102" s="9">
        <v>46217</v>
      </c>
      <c r="B102" s="10" t="s">
        <v>162</v>
      </c>
      <c r="C102" s="10" t="s">
        <v>154</v>
      </c>
      <c r="D102" s="12" t="s">
        <v>151</v>
      </c>
      <c r="E102" s="10">
        <v>5</v>
      </c>
    </row>
    <row r="103" spans="1:5" hidden="1" x14ac:dyDescent="0.3">
      <c r="A103" s="9">
        <v>46217</v>
      </c>
      <c r="B103" s="10" t="s">
        <v>24</v>
      </c>
      <c r="C103" s="10" t="s">
        <v>149</v>
      </c>
      <c r="D103" s="12" t="s">
        <v>151</v>
      </c>
      <c r="E103" s="65">
        <v>2</v>
      </c>
    </row>
    <row r="104" spans="1:5" hidden="1" x14ac:dyDescent="0.3">
      <c r="A104" s="9">
        <v>46217</v>
      </c>
      <c r="B104" s="10" t="s">
        <v>27</v>
      </c>
      <c r="C104" s="10" t="s">
        <v>149</v>
      </c>
      <c r="D104" s="12" t="s">
        <v>151</v>
      </c>
      <c r="E104" s="10">
        <v>2</v>
      </c>
    </row>
    <row r="105" spans="1:5" hidden="1" x14ac:dyDescent="0.3">
      <c r="A105" s="9">
        <v>46217</v>
      </c>
      <c r="B105" s="10" t="s">
        <v>59</v>
      </c>
      <c r="C105" s="10" t="s">
        <v>149</v>
      </c>
      <c r="D105" s="12"/>
      <c r="E105" s="10">
        <v>4</v>
      </c>
    </row>
    <row r="106" spans="1:5" hidden="1" x14ac:dyDescent="0.3">
      <c r="A106" s="9">
        <v>46217</v>
      </c>
      <c r="B106" s="10" t="s">
        <v>92</v>
      </c>
      <c r="C106" s="10" t="s">
        <v>149</v>
      </c>
      <c r="D106" s="12" t="s">
        <v>151</v>
      </c>
      <c r="E106" s="10">
        <v>4</v>
      </c>
    </row>
    <row r="107" spans="1:5" hidden="1" x14ac:dyDescent="0.3">
      <c r="A107" s="9">
        <v>46217</v>
      </c>
      <c r="B107" s="10" t="s">
        <v>22</v>
      </c>
      <c r="C107" s="10" t="s">
        <v>149</v>
      </c>
      <c r="D107" s="12" t="s">
        <v>151</v>
      </c>
      <c r="E107" s="10">
        <v>1</v>
      </c>
    </row>
    <row r="108" spans="1:5" hidden="1" x14ac:dyDescent="0.3">
      <c r="A108" s="9">
        <v>46217</v>
      </c>
      <c r="B108" s="10" t="s">
        <v>171</v>
      </c>
      <c r="C108" s="10" t="s">
        <v>149</v>
      </c>
      <c r="D108" s="12" t="s">
        <v>151</v>
      </c>
      <c r="E108" s="10">
        <v>6</v>
      </c>
    </row>
    <row r="109" spans="1:5" hidden="1" x14ac:dyDescent="0.3">
      <c r="A109" s="9">
        <v>46217</v>
      </c>
      <c r="B109" s="10" t="s">
        <v>67</v>
      </c>
      <c r="C109" s="10" t="s">
        <v>149</v>
      </c>
      <c r="D109" s="12" t="s">
        <v>151</v>
      </c>
      <c r="E109" s="10">
        <v>1</v>
      </c>
    </row>
    <row r="110" spans="1:5" hidden="1" x14ac:dyDescent="0.3">
      <c r="A110" s="9">
        <v>46215</v>
      </c>
      <c r="B110" s="10" t="s">
        <v>82</v>
      </c>
      <c r="C110" s="10" t="s">
        <v>149</v>
      </c>
      <c r="D110" s="12" t="s">
        <v>151</v>
      </c>
      <c r="E110" s="10">
        <v>6</v>
      </c>
    </row>
    <row r="111" spans="1:5" hidden="1" x14ac:dyDescent="0.3">
      <c r="A111" s="9">
        <v>46215</v>
      </c>
      <c r="B111" s="10" t="s">
        <v>23</v>
      </c>
      <c r="C111" s="10" t="s">
        <v>149</v>
      </c>
      <c r="D111" s="12" t="s">
        <v>151</v>
      </c>
      <c r="E111" s="10">
        <v>5</v>
      </c>
    </row>
    <row r="112" spans="1:5" hidden="1" x14ac:dyDescent="0.3">
      <c r="A112" s="9">
        <v>46215</v>
      </c>
      <c r="B112" s="10" t="s">
        <v>74</v>
      </c>
      <c r="C112" s="10" t="s">
        <v>149</v>
      </c>
      <c r="D112" s="12" t="s">
        <v>151</v>
      </c>
      <c r="E112" s="10">
        <v>14</v>
      </c>
    </row>
    <row r="113" spans="1:5" hidden="1" x14ac:dyDescent="0.3">
      <c r="A113" s="9">
        <v>46215</v>
      </c>
      <c r="B113" s="10" t="s">
        <v>32</v>
      </c>
      <c r="C113" s="10" t="s">
        <v>145</v>
      </c>
      <c r="D113" s="12" t="s">
        <v>153</v>
      </c>
      <c r="E113" s="10">
        <v>12</v>
      </c>
    </row>
    <row r="114" spans="1:5" hidden="1" x14ac:dyDescent="0.3">
      <c r="A114" s="9">
        <v>46215</v>
      </c>
      <c r="B114" s="10" t="s">
        <v>152</v>
      </c>
      <c r="C114" s="10" t="s">
        <v>149</v>
      </c>
      <c r="D114" s="12" t="s">
        <v>151</v>
      </c>
      <c r="E114" s="10">
        <v>13</v>
      </c>
    </row>
    <row r="115" spans="1:5" hidden="1" x14ac:dyDescent="0.3">
      <c r="A115" s="9">
        <v>46215</v>
      </c>
      <c r="B115" s="10" t="s">
        <v>70</v>
      </c>
      <c r="C115" s="10" t="s">
        <v>149</v>
      </c>
      <c r="D115" s="12" t="s">
        <v>151</v>
      </c>
      <c r="E115" s="10">
        <v>14</v>
      </c>
    </row>
    <row r="116" spans="1:5" hidden="1" x14ac:dyDescent="0.3">
      <c r="A116" s="9">
        <v>46215</v>
      </c>
      <c r="B116" s="10" t="s">
        <v>166</v>
      </c>
      <c r="C116" s="10" t="s">
        <v>149</v>
      </c>
      <c r="D116" s="12" t="s">
        <v>153</v>
      </c>
      <c r="E116" s="10">
        <v>4</v>
      </c>
    </row>
    <row r="117" spans="1:5" hidden="1" x14ac:dyDescent="0.3">
      <c r="A117" s="9">
        <v>46215</v>
      </c>
      <c r="B117" s="10" t="s">
        <v>164</v>
      </c>
      <c r="C117" s="10" t="s">
        <v>145</v>
      </c>
      <c r="D117" s="12" t="s">
        <v>153</v>
      </c>
      <c r="E117" s="10">
        <v>4</v>
      </c>
    </row>
    <row r="118" spans="1:5" hidden="1" x14ac:dyDescent="0.3">
      <c r="A118" s="9">
        <v>46215</v>
      </c>
      <c r="B118" s="10" t="s">
        <v>165</v>
      </c>
      <c r="C118" s="10" t="s">
        <v>149</v>
      </c>
      <c r="D118" s="12" t="s">
        <v>151</v>
      </c>
      <c r="E118" s="10">
        <v>4</v>
      </c>
    </row>
    <row r="119" spans="1:5" hidden="1" x14ac:dyDescent="0.3">
      <c r="A119" s="9">
        <v>46215</v>
      </c>
      <c r="B119" s="10" t="s">
        <v>162</v>
      </c>
      <c r="C119" s="10" t="s">
        <v>154</v>
      </c>
      <c r="D119" s="12" t="s">
        <v>151</v>
      </c>
      <c r="E119" s="10">
        <v>3</v>
      </c>
    </row>
    <row r="120" spans="1:5" hidden="1" x14ac:dyDescent="0.3">
      <c r="A120" s="9">
        <v>46215</v>
      </c>
      <c r="B120" s="10" t="s">
        <v>160</v>
      </c>
      <c r="C120" s="10" t="s">
        <v>149</v>
      </c>
      <c r="D120" s="12" t="s">
        <v>151</v>
      </c>
      <c r="E120" s="10">
        <v>4</v>
      </c>
    </row>
    <row r="121" spans="1:5" hidden="1" x14ac:dyDescent="0.3">
      <c r="A121" s="9">
        <v>46215</v>
      </c>
      <c r="B121" s="10" t="s">
        <v>167</v>
      </c>
      <c r="C121" s="10" t="s">
        <v>149</v>
      </c>
      <c r="D121" s="12" t="s">
        <v>151</v>
      </c>
      <c r="E121" s="10">
        <v>4</v>
      </c>
    </row>
    <row r="122" spans="1:5" hidden="1" x14ac:dyDescent="0.3">
      <c r="A122" s="9">
        <v>46215</v>
      </c>
      <c r="B122" s="10" t="s">
        <v>163</v>
      </c>
      <c r="C122" s="10" t="s">
        <v>149</v>
      </c>
      <c r="D122" s="12" t="s">
        <v>151</v>
      </c>
      <c r="E122" s="10">
        <v>4</v>
      </c>
    </row>
    <row r="123" spans="1:5" hidden="1" x14ac:dyDescent="0.3">
      <c r="A123" s="9">
        <v>46215</v>
      </c>
      <c r="B123" s="10" t="s">
        <v>24</v>
      </c>
      <c r="C123" s="10" t="s">
        <v>149</v>
      </c>
      <c r="D123" s="12" t="s">
        <v>151</v>
      </c>
      <c r="E123" s="10">
        <v>11</v>
      </c>
    </row>
    <row r="124" spans="1:5" hidden="1" x14ac:dyDescent="0.3">
      <c r="A124" s="9">
        <v>46215</v>
      </c>
      <c r="B124" s="10" t="s">
        <v>32</v>
      </c>
      <c r="C124" s="10" t="s">
        <v>145</v>
      </c>
      <c r="D124" s="12" t="s">
        <v>153</v>
      </c>
      <c r="E124" s="10">
        <v>12</v>
      </c>
    </row>
    <row r="125" spans="1:5" hidden="1" x14ac:dyDescent="0.3">
      <c r="A125" s="9">
        <v>46215</v>
      </c>
      <c r="B125" s="10" t="s">
        <v>58</v>
      </c>
      <c r="C125" s="10" t="s">
        <v>145</v>
      </c>
      <c r="D125" s="12" t="s">
        <v>151</v>
      </c>
      <c r="E125" s="10">
        <v>14</v>
      </c>
    </row>
    <row r="126" spans="1:5" hidden="1" x14ac:dyDescent="0.3">
      <c r="A126" s="9">
        <v>46215</v>
      </c>
      <c r="B126" s="10" t="s">
        <v>172</v>
      </c>
      <c r="C126" s="10" t="s">
        <v>149</v>
      </c>
      <c r="D126" s="12" t="s">
        <v>151</v>
      </c>
      <c r="E126" s="10">
        <v>1</v>
      </c>
    </row>
    <row r="127" spans="1:5" hidden="1" x14ac:dyDescent="0.3">
      <c r="A127" s="18">
        <v>46215</v>
      </c>
      <c r="B127" s="19" t="s">
        <v>173</v>
      </c>
      <c r="C127" s="19" t="s">
        <v>149</v>
      </c>
      <c r="D127" s="20" t="s">
        <v>151</v>
      </c>
      <c r="E127" s="19">
        <v>2</v>
      </c>
    </row>
    <row r="128" spans="1:5" hidden="1" x14ac:dyDescent="0.3">
      <c r="A128" s="9">
        <v>46215</v>
      </c>
      <c r="B128" s="10" t="s">
        <v>74</v>
      </c>
      <c r="C128" s="10" t="s">
        <v>149</v>
      </c>
      <c r="D128" s="12" t="s">
        <v>151</v>
      </c>
      <c r="E128" s="10">
        <v>14</v>
      </c>
    </row>
    <row r="129" spans="1:5" hidden="1" x14ac:dyDescent="0.3">
      <c r="A129" s="9">
        <v>46215</v>
      </c>
      <c r="B129" s="10" t="s">
        <v>47</v>
      </c>
      <c r="C129" s="10" t="s">
        <v>149</v>
      </c>
      <c r="D129" s="12" t="s">
        <v>151</v>
      </c>
      <c r="E129" s="10">
        <v>16</v>
      </c>
    </row>
    <row r="130" spans="1:5" hidden="1" x14ac:dyDescent="0.3">
      <c r="A130" s="9">
        <v>46215</v>
      </c>
      <c r="B130" s="10" t="s">
        <v>46</v>
      </c>
      <c r="C130" s="10" t="s">
        <v>149</v>
      </c>
      <c r="D130" s="12" t="s">
        <v>151</v>
      </c>
      <c r="E130" s="10">
        <v>12</v>
      </c>
    </row>
    <row r="131" spans="1:5" hidden="1" x14ac:dyDescent="0.3">
      <c r="A131" s="9">
        <v>46215</v>
      </c>
      <c r="B131" s="10" t="s">
        <v>123</v>
      </c>
      <c r="C131" s="10" t="s">
        <v>149</v>
      </c>
      <c r="D131" s="12" t="s">
        <v>151</v>
      </c>
      <c r="E131" s="10">
        <v>13</v>
      </c>
    </row>
    <row r="132" spans="1:5" hidden="1" x14ac:dyDescent="0.3">
      <c r="A132" s="9">
        <v>46215</v>
      </c>
      <c r="B132" s="10" t="s">
        <v>72</v>
      </c>
      <c r="C132" s="10" t="s">
        <v>149</v>
      </c>
      <c r="D132" s="12" t="s">
        <v>151</v>
      </c>
      <c r="E132" s="10">
        <v>13</v>
      </c>
    </row>
    <row r="133" spans="1:5" hidden="1" x14ac:dyDescent="0.3">
      <c r="A133" s="9">
        <v>46215</v>
      </c>
      <c r="B133" s="10" t="s">
        <v>152</v>
      </c>
      <c r="C133" s="10" t="s">
        <v>149</v>
      </c>
      <c r="D133" s="12" t="s">
        <v>151</v>
      </c>
      <c r="E133" s="10">
        <v>15</v>
      </c>
    </row>
    <row r="134" spans="1:5" hidden="1" x14ac:dyDescent="0.3">
      <c r="A134" s="9">
        <v>46215</v>
      </c>
      <c r="B134" s="10" t="s">
        <v>157</v>
      </c>
      <c r="C134" s="10" t="s">
        <v>149</v>
      </c>
      <c r="D134" s="12" t="s">
        <v>151</v>
      </c>
      <c r="E134" s="10">
        <v>10</v>
      </c>
    </row>
    <row r="135" spans="1:5" hidden="1" x14ac:dyDescent="0.3">
      <c r="A135" s="9">
        <v>46215</v>
      </c>
      <c r="B135" s="10" t="s">
        <v>162</v>
      </c>
      <c r="C135" s="10" t="s">
        <v>154</v>
      </c>
      <c r="D135" s="12" t="s">
        <v>151</v>
      </c>
      <c r="E135" s="10">
        <v>13</v>
      </c>
    </row>
    <row r="136" spans="1:5" hidden="1" x14ac:dyDescent="0.3">
      <c r="A136" s="9">
        <v>46215</v>
      </c>
      <c r="B136" s="10" t="s">
        <v>164</v>
      </c>
      <c r="C136" s="10" t="s">
        <v>145</v>
      </c>
      <c r="D136" s="12" t="s">
        <v>153</v>
      </c>
      <c r="E136" s="10">
        <v>14</v>
      </c>
    </row>
    <row r="137" spans="1:5" hidden="1" x14ac:dyDescent="0.3">
      <c r="A137" s="9">
        <v>46215</v>
      </c>
      <c r="B137" s="10" t="s">
        <v>166</v>
      </c>
      <c r="C137" s="10" t="s">
        <v>149</v>
      </c>
      <c r="D137" s="12" t="s">
        <v>153</v>
      </c>
      <c r="E137" s="10">
        <v>12</v>
      </c>
    </row>
    <row r="138" spans="1:5" hidden="1" x14ac:dyDescent="0.3">
      <c r="A138" s="9">
        <v>46215</v>
      </c>
      <c r="B138" s="10" t="s">
        <v>160</v>
      </c>
      <c r="C138" s="10" t="s">
        <v>149</v>
      </c>
      <c r="D138" s="12" t="s">
        <v>151</v>
      </c>
      <c r="E138" s="10">
        <v>13</v>
      </c>
    </row>
    <row r="139" spans="1:5" hidden="1" x14ac:dyDescent="0.3">
      <c r="A139" s="9">
        <v>46215</v>
      </c>
      <c r="B139" s="10" t="s">
        <v>163</v>
      </c>
      <c r="C139" s="10" t="s">
        <v>149</v>
      </c>
      <c r="D139" s="12" t="s">
        <v>151</v>
      </c>
      <c r="E139" s="10">
        <v>10</v>
      </c>
    </row>
    <row r="140" spans="1:5" hidden="1" x14ac:dyDescent="0.3">
      <c r="A140" s="9">
        <v>46215</v>
      </c>
      <c r="B140" s="10" t="s">
        <v>93</v>
      </c>
      <c r="C140" s="10" t="s">
        <v>145</v>
      </c>
      <c r="D140" s="12" t="s">
        <v>153</v>
      </c>
      <c r="E140" s="10">
        <v>13</v>
      </c>
    </row>
    <row r="141" spans="1:5" hidden="1" x14ac:dyDescent="0.3">
      <c r="A141" s="9">
        <v>46215</v>
      </c>
      <c r="B141" s="10" t="s">
        <v>70</v>
      </c>
      <c r="C141" s="10" t="s">
        <v>149</v>
      </c>
      <c r="D141" s="12" t="s">
        <v>151</v>
      </c>
      <c r="E141" s="10">
        <v>12</v>
      </c>
    </row>
    <row r="142" spans="1:5" hidden="1" x14ac:dyDescent="0.3">
      <c r="A142" s="9">
        <v>46215</v>
      </c>
      <c r="B142" s="10" t="s">
        <v>86</v>
      </c>
      <c r="C142" s="10" t="s">
        <v>149</v>
      </c>
      <c r="D142" s="12" t="s">
        <v>151</v>
      </c>
      <c r="E142" s="10">
        <v>13</v>
      </c>
    </row>
    <row r="143" spans="1:5" hidden="1" x14ac:dyDescent="0.3">
      <c r="A143" s="9">
        <v>46215</v>
      </c>
      <c r="B143" s="39" t="s">
        <v>175</v>
      </c>
      <c r="C143" s="10" t="s">
        <v>145</v>
      </c>
      <c r="D143" s="12" t="s">
        <v>151</v>
      </c>
      <c r="E143" s="10">
        <v>13</v>
      </c>
    </row>
    <row r="144" spans="1:5" hidden="1" x14ac:dyDescent="0.3">
      <c r="A144" s="9">
        <v>46215</v>
      </c>
      <c r="B144" s="10" t="s">
        <v>65</v>
      </c>
      <c r="C144" s="10" t="s">
        <v>149</v>
      </c>
      <c r="D144" s="12" t="s">
        <v>151</v>
      </c>
      <c r="E144" s="10">
        <v>12</v>
      </c>
    </row>
    <row r="145" spans="1:5" hidden="1" x14ac:dyDescent="0.3">
      <c r="A145" s="9">
        <v>46215</v>
      </c>
      <c r="B145" s="10" t="s">
        <v>174</v>
      </c>
      <c r="C145" s="10" t="s">
        <v>154</v>
      </c>
      <c r="D145" s="12" t="s">
        <v>151</v>
      </c>
      <c r="E145" s="10">
        <v>3</v>
      </c>
    </row>
    <row r="146" spans="1:5" hidden="1" x14ac:dyDescent="0.3">
      <c r="A146" s="9">
        <v>46215</v>
      </c>
      <c r="B146" s="10" t="s">
        <v>133</v>
      </c>
      <c r="C146" s="10" t="s">
        <v>161</v>
      </c>
      <c r="D146" s="12" t="s">
        <v>151</v>
      </c>
      <c r="E146" s="10">
        <v>11</v>
      </c>
    </row>
    <row r="147" spans="1:5" hidden="1" x14ac:dyDescent="0.3">
      <c r="A147" s="9">
        <v>46215</v>
      </c>
      <c r="B147" s="10" t="s">
        <v>159</v>
      </c>
      <c r="C147" s="10" t="s">
        <v>149</v>
      </c>
      <c r="D147" s="12" t="s">
        <v>151</v>
      </c>
      <c r="E147" s="10">
        <v>10</v>
      </c>
    </row>
    <row r="148" spans="1:5" x14ac:dyDescent="0.3">
      <c r="A148" s="9">
        <v>46215</v>
      </c>
      <c r="B148" s="10" t="s">
        <v>48</v>
      </c>
      <c r="C148" s="10" t="s">
        <v>154</v>
      </c>
      <c r="D148" s="12" t="s">
        <v>151</v>
      </c>
      <c r="E148" s="65">
        <v>9</v>
      </c>
    </row>
    <row r="149" spans="1:5" hidden="1" x14ac:dyDescent="0.3">
      <c r="A149" s="9">
        <v>46215</v>
      </c>
      <c r="B149" s="10" t="s">
        <v>155</v>
      </c>
      <c r="C149" s="10" t="s">
        <v>149</v>
      </c>
      <c r="D149" s="12" t="s">
        <v>151</v>
      </c>
      <c r="E149" s="10">
        <v>5</v>
      </c>
    </row>
    <row r="150" spans="1:5" hidden="1" x14ac:dyDescent="0.3">
      <c r="A150" s="9">
        <v>46215</v>
      </c>
      <c r="B150" s="10" t="s">
        <v>158</v>
      </c>
      <c r="C150" s="10" t="s">
        <v>149</v>
      </c>
      <c r="D150" s="12" t="s">
        <v>151</v>
      </c>
      <c r="E150" s="10">
        <v>9</v>
      </c>
    </row>
    <row r="151" spans="1:5" hidden="1" x14ac:dyDescent="0.3">
      <c r="A151" s="9">
        <v>46215</v>
      </c>
      <c r="B151" s="10" t="s">
        <v>118</v>
      </c>
      <c r="C151" s="10" t="s">
        <v>149</v>
      </c>
      <c r="D151" s="12" t="s">
        <v>151</v>
      </c>
      <c r="E151" s="10">
        <v>6</v>
      </c>
    </row>
    <row r="152" spans="1:5" hidden="1" x14ac:dyDescent="0.3">
      <c r="A152" s="9">
        <v>46214</v>
      </c>
      <c r="B152" s="10" t="s">
        <v>74</v>
      </c>
      <c r="C152" s="10" t="s">
        <v>149</v>
      </c>
      <c r="D152" s="12" t="s">
        <v>151</v>
      </c>
      <c r="E152" s="10">
        <v>13</v>
      </c>
    </row>
    <row r="153" spans="1:5" hidden="1" x14ac:dyDescent="0.3">
      <c r="A153" s="9">
        <v>46214</v>
      </c>
      <c r="B153" s="10" t="s">
        <v>32</v>
      </c>
      <c r="C153" s="10" t="s">
        <v>145</v>
      </c>
      <c r="D153" s="12" t="s">
        <v>153</v>
      </c>
      <c r="E153" s="10">
        <v>12</v>
      </c>
    </row>
    <row r="154" spans="1:5" hidden="1" x14ac:dyDescent="0.3">
      <c r="A154" s="9">
        <v>46214</v>
      </c>
      <c r="B154" s="10" t="s">
        <v>152</v>
      </c>
      <c r="C154" s="10" t="s">
        <v>149</v>
      </c>
      <c r="D154" s="12" t="s">
        <v>151</v>
      </c>
      <c r="E154" s="10">
        <v>10</v>
      </c>
    </row>
    <row r="155" spans="1:5" hidden="1" x14ac:dyDescent="0.3">
      <c r="A155" s="9">
        <v>46214</v>
      </c>
      <c r="B155" s="38" t="s">
        <v>46</v>
      </c>
      <c r="C155" s="10" t="s">
        <v>145</v>
      </c>
      <c r="D155" s="12" t="s">
        <v>151</v>
      </c>
      <c r="E155" s="10">
        <v>12</v>
      </c>
    </row>
    <row r="156" spans="1:5" hidden="1" x14ac:dyDescent="0.3">
      <c r="A156" s="9">
        <v>46214</v>
      </c>
      <c r="B156" s="10" t="s">
        <v>86</v>
      </c>
      <c r="C156" s="10" t="s">
        <v>149</v>
      </c>
      <c r="D156" s="12" t="s">
        <v>151</v>
      </c>
      <c r="E156" s="10">
        <v>13</v>
      </c>
    </row>
    <row r="157" spans="1:5" hidden="1" x14ac:dyDescent="0.3">
      <c r="A157" s="9">
        <v>46214</v>
      </c>
      <c r="B157" s="10" t="s">
        <v>65</v>
      </c>
      <c r="C157" s="10" t="s">
        <v>149</v>
      </c>
      <c r="D157" s="12" t="s">
        <v>151</v>
      </c>
      <c r="E157" s="10">
        <v>13</v>
      </c>
    </row>
    <row r="158" spans="1:5" hidden="1" x14ac:dyDescent="0.3">
      <c r="A158" s="9">
        <v>46214</v>
      </c>
      <c r="B158" s="10" t="s">
        <v>158</v>
      </c>
      <c r="C158" s="10" t="s">
        <v>149</v>
      </c>
      <c r="D158" s="12" t="s">
        <v>151</v>
      </c>
      <c r="E158" s="10">
        <v>11</v>
      </c>
    </row>
    <row r="159" spans="1:5" hidden="1" x14ac:dyDescent="0.3">
      <c r="A159" s="9">
        <v>46214</v>
      </c>
      <c r="B159" s="10" t="s">
        <v>157</v>
      </c>
      <c r="C159" s="10" t="s">
        <v>149</v>
      </c>
      <c r="D159" s="12" t="s">
        <v>151</v>
      </c>
      <c r="E159" s="10">
        <v>12</v>
      </c>
    </row>
    <row r="160" spans="1:5" hidden="1" x14ac:dyDescent="0.3">
      <c r="A160" s="18">
        <v>46214</v>
      </c>
      <c r="B160" s="40" t="s">
        <v>79</v>
      </c>
      <c r="C160" s="41" t="s">
        <v>145</v>
      </c>
      <c r="D160" s="42" t="s">
        <v>153</v>
      </c>
      <c r="E160" s="41">
        <v>12</v>
      </c>
    </row>
    <row r="161" spans="1:5" hidden="1" x14ac:dyDescent="0.3">
      <c r="A161" s="9">
        <v>46214</v>
      </c>
      <c r="B161" s="10" t="s">
        <v>47</v>
      </c>
      <c r="C161" s="10" t="s">
        <v>149</v>
      </c>
      <c r="D161" s="12" t="s">
        <v>151</v>
      </c>
      <c r="E161" s="10">
        <v>12</v>
      </c>
    </row>
    <row r="162" spans="1:5" hidden="1" x14ac:dyDescent="0.3">
      <c r="A162" s="9">
        <v>46214</v>
      </c>
      <c r="B162" s="10" t="s">
        <v>118</v>
      </c>
      <c r="C162" s="10" t="s">
        <v>149</v>
      </c>
      <c r="D162" s="12" t="s">
        <v>151</v>
      </c>
      <c r="E162" s="10">
        <v>8</v>
      </c>
    </row>
    <row r="163" spans="1:5" hidden="1" x14ac:dyDescent="0.3">
      <c r="A163" s="9">
        <v>46214</v>
      </c>
      <c r="B163" s="10" t="s">
        <v>155</v>
      </c>
      <c r="C163" s="10" t="s">
        <v>149</v>
      </c>
      <c r="D163" s="12" t="s">
        <v>151</v>
      </c>
      <c r="E163" s="10">
        <v>10</v>
      </c>
    </row>
    <row r="164" spans="1:5" hidden="1" x14ac:dyDescent="0.3">
      <c r="A164" s="9">
        <v>46214</v>
      </c>
      <c r="B164" s="10" t="s">
        <v>123</v>
      </c>
      <c r="C164" s="10" t="s">
        <v>149</v>
      </c>
      <c r="D164" s="12" t="s">
        <v>151</v>
      </c>
      <c r="E164" s="10">
        <v>12</v>
      </c>
    </row>
    <row r="165" spans="1:5" x14ac:dyDescent="0.3">
      <c r="A165" s="9">
        <v>46214</v>
      </c>
      <c r="B165" s="10" t="s">
        <v>48</v>
      </c>
      <c r="C165" s="10" t="s">
        <v>154</v>
      </c>
      <c r="D165" s="12" t="s">
        <v>151</v>
      </c>
      <c r="E165" s="10">
        <v>12</v>
      </c>
    </row>
    <row r="166" spans="1:5" hidden="1" x14ac:dyDescent="0.3">
      <c r="A166" s="9">
        <v>46214</v>
      </c>
      <c r="B166" s="10" t="s">
        <v>72</v>
      </c>
      <c r="C166" s="10" t="s">
        <v>149</v>
      </c>
      <c r="D166" s="12" t="s">
        <v>151</v>
      </c>
      <c r="E166" s="10">
        <v>9</v>
      </c>
    </row>
    <row r="167" spans="1:5" hidden="1" x14ac:dyDescent="0.3">
      <c r="A167" s="9">
        <v>46214</v>
      </c>
      <c r="B167" s="38" t="s">
        <v>93</v>
      </c>
      <c r="C167" s="10" t="s">
        <v>145</v>
      </c>
      <c r="D167" s="12"/>
      <c r="E167" s="10">
        <v>12</v>
      </c>
    </row>
    <row r="168" spans="1:5" hidden="1" x14ac:dyDescent="0.3">
      <c r="A168" s="9">
        <v>46218</v>
      </c>
      <c r="B168" s="10" t="s">
        <v>72</v>
      </c>
      <c r="C168" s="10" t="s">
        <v>149</v>
      </c>
      <c r="D168" s="12"/>
      <c r="E168" s="10">
        <v>3</v>
      </c>
    </row>
    <row r="169" spans="1:5" hidden="1" x14ac:dyDescent="0.3">
      <c r="A169" s="9">
        <v>46218</v>
      </c>
      <c r="B169" s="10" t="s">
        <v>160</v>
      </c>
      <c r="C169" s="10" t="s">
        <v>149</v>
      </c>
      <c r="D169" s="12"/>
      <c r="E169" s="10">
        <v>1</v>
      </c>
    </row>
    <row r="170" spans="1:5" hidden="1" x14ac:dyDescent="0.3">
      <c r="A170" s="9">
        <v>46218</v>
      </c>
      <c r="B170" s="10" t="s">
        <v>167</v>
      </c>
      <c r="C170" s="10" t="s">
        <v>149</v>
      </c>
      <c r="D170" s="12"/>
      <c r="E170" s="10">
        <v>5</v>
      </c>
    </row>
    <row r="171" spans="1:5" hidden="1" x14ac:dyDescent="0.3">
      <c r="A171" s="9">
        <v>46218</v>
      </c>
      <c r="B171" s="10" t="s">
        <v>164</v>
      </c>
      <c r="C171" s="10" t="s">
        <v>145</v>
      </c>
      <c r="D171" s="12"/>
      <c r="E171" s="10">
        <v>10</v>
      </c>
    </row>
    <row r="172" spans="1:5" hidden="1" x14ac:dyDescent="0.3">
      <c r="A172" s="9">
        <v>46218</v>
      </c>
      <c r="B172" s="10" t="s">
        <v>32</v>
      </c>
      <c r="C172" s="10"/>
      <c r="D172" s="12"/>
      <c r="E172" s="10">
        <v>14</v>
      </c>
    </row>
    <row r="173" spans="1:5" hidden="1" x14ac:dyDescent="0.3">
      <c r="A173" s="9">
        <v>46218</v>
      </c>
      <c r="B173" s="10" t="s">
        <v>24</v>
      </c>
      <c r="C173" s="10" t="s">
        <v>149</v>
      </c>
      <c r="D173" s="12" t="s">
        <v>151</v>
      </c>
      <c r="E173" s="10">
        <v>17</v>
      </c>
    </row>
    <row r="174" spans="1:5" hidden="1" x14ac:dyDescent="0.3">
      <c r="A174" s="9">
        <v>46218</v>
      </c>
      <c r="B174" s="10" t="s">
        <v>67</v>
      </c>
      <c r="C174" s="10"/>
      <c r="D174" s="12"/>
      <c r="E174" s="10">
        <v>12</v>
      </c>
    </row>
    <row r="175" spans="1:5" hidden="1" x14ac:dyDescent="0.3">
      <c r="A175" s="9">
        <v>46218</v>
      </c>
      <c r="B175" s="10" t="s">
        <v>74</v>
      </c>
      <c r="C175" s="10"/>
      <c r="D175" s="12"/>
      <c r="E175" s="10">
        <v>12</v>
      </c>
    </row>
    <row r="176" spans="1:5" hidden="1" x14ac:dyDescent="0.3">
      <c r="A176" s="9">
        <v>46218</v>
      </c>
      <c r="B176" s="10" t="s">
        <v>70</v>
      </c>
      <c r="C176" s="10" t="s">
        <v>149</v>
      </c>
      <c r="D176" s="12" t="s">
        <v>151</v>
      </c>
      <c r="E176" s="10">
        <v>14</v>
      </c>
    </row>
    <row r="177" spans="1:5" hidden="1" x14ac:dyDescent="0.3">
      <c r="A177" s="9">
        <v>46218</v>
      </c>
      <c r="B177" s="10" t="s">
        <v>23</v>
      </c>
      <c r="C177" s="10" t="s">
        <v>149</v>
      </c>
      <c r="D177" s="12" t="s">
        <v>151</v>
      </c>
      <c r="E177" s="10">
        <v>14</v>
      </c>
    </row>
    <row r="178" spans="1:5" hidden="1" x14ac:dyDescent="0.3">
      <c r="A178" s="9">
        <v>46218</v>
      </c>
      <c r="B178" s="10" t="s">
        <v>79</v>
      </c>
      <c r="C178" s="10"/>
      <c r="D178" s="12"/>
      <c r="E178" s="10">
        <v>12</v>
      </c>
    </row>
    <row r="179" spans="1:5" hidden="1" x14ac:dyDescent="0.3">
      <c r="A179" s="9">
        <v>46218</v>
      </c>
      <c r="B179" s="10" t="s">
        <v>133</v>
      </c>
      <c r="C179" s="10"/>
      <c r="D179" s="12"/>
      <c r="E179" s="10">
        <v>11</v>
      </c>
    </row>
    <row r="180" spans="1:5" hidden="1" x14ac:dyDescent="0.3">
      <c r="A180" s="15">
        <v>46218</v>
      </c>
      <c r="B180" s="16" t="s">
        <v>32</v>
      </c>
      <c r="C180" s="14"/>
      <c r="D180" s="17"/>
      <c r="E180" s="16">
        <v>13</v>
      </c>
    </row>
    <row r="181" spans="1:5" hidden="1" x14ac:dyDescent="0.3">
      <c r="A181" s="9">
        <v>46218</v>
      </c>
      <c r="B181" s="10" t="s">
        <v>159</v>
      </c>
      <c r="E181" s="10">
        <v>15</v>
      </c>
    </row>
    <row r="182" spans="1:5" hidden="1" x14ac:dyDescent="0.3">
      <c r="A182" s="9">
        <v>46218</v>
      </c>
      <c r="B182" s="10" t="s">
        <v>123</v>
      </c>
      <c r="E182" s="10">
        <v>15</v>
      </c>
    </row>
    <row r="183" spans="1:5" hidden="1" x14ac:dyDescent="0.3">
      <c r="A183" s="9">
        <v>46218</v>
      </c>
      <c r="B183" s="10" t="s">
        <v>57</v>
      </c>
      <c r="E183" s="10">
        <v>14</v>
      </c>
    </row>
    <row r="184" spans="1:5" hidden="1" x14ac:dyDescent="0.3">
      <c r="A184" s="9">
        <v>46218</v>
      </c>
      <c r="B184" s="10" t="s">
        <v>157</v>
      </c>
      <c r="E184" s="10">
        <v>5</v>
      </c>
    </row>
    <row r="185" spans="1:5" hidden="1" x14ac:dyDescent="0.3">
      <c r="A185" s="9">
        <v>46218</v>
      </c>
      <c r="B185" s="10" t="s">
        <v>58</v>
      </c>
      <c r="E185" s="10">
        <v>12</v>
      </c>
    </row>
    <row r="186" spans="1:5" hidden="1" x14ac:dyDescent="0.3">
      <c r="A186" s="9">
        <v>46218</v>
      </c>
      <c r="B186" s="10" t="s">
        <v>34</v>
      </c>
      <c r="E186" s="10">
        <v>14</v>
      </c>
    </row>
    <row r="187" spans="1:5" hidden="1" x14ac:dyDescent="0.3">
      <c r="A187" s="9">
        <v>46218</v>
      </c>
      <c r="B187" s="10" t="s">
        <v>152</v>
      </c>
      <c r="E187" s="10">
        <v>13</v>
      </c>
    </row>
    <row r="188" spans="1:5" hidden="1" x14ac:dyDescent="0.3">
      <c r="A188" s="9">
        <v>46218</v>
      </c>
      <c r="B188" s="10" t="s">
        <v>82</v>
      </c>
      <c r="E188" s="10">
        <v>12</v>
      </c>
    </row>
    <row r="189" spans="1:5" hidden="1" x14ac:dyDescent="0.3">
      <c r="A189" s="9">
        <v>46218</v>
      </c>
      <c r="B189" s="10" t="s">
        <v>169</v>
      </c>
      <c r="E189" s="10">
        <v>13</v>
      </c>
    </row>
    <row r="190" spans="1:5" hidden="1" x14ac:dyDescent="0.3">
      <c r="A190" s="9">
        <v>46218</v>
      </c>
      <c r="B190" s="10" t="s">
        <v>86</v>
      </c>
      <c r="E190" s="10">
        <v>13</v>
      </c>
    </row>
    <row r="191" spans="1:5" hidden="1" x14ac:dyDescent="0.3">
      <c r="A191" s="9">
        <v>46218</v>
      </c>
      <c r="B191" s="10" t="s">
        <v>74</v>
      </c>
      <c r="E191" s="10">
        <v>12</v>
      </c>
    </row>
    <row r="192" spans="1:5" hidden="1" x14ac:dyDescent="0.3">
      <c r="A192" s="9">
        <v>46218</v>
      </c>
      <c r="B192" s="10" t="s">
        <v>24</v>
      </c>
      <c r="C192" s="10" t="s">
        <v>149</v>
      </c>
      <c r="D192" s="12" t="s">
        <v>151</v>
      </c>
      <c r="E192" s="65">
        <v>1</v>
      </c>
    </row>
    <row r="193" spans="1:5" hidden="1" x14ac:dyDescent="0.3">
      <c r="A193" s="9">
        <v>46218</v>
      </c>
      <c r="B193" s="10" t="s">
        <v>65</v>
      </c>
      <c r="E193" s="10">
        <v>12</v>
      </c>
    </row>
    <row r="194" spans="1:5" hidden="1" x14ac:dyDescent="0.3">
      <c r="A194" s="9">
        <v>46218</v>
      </c>
      <c r="B194" s="10" t="s">
        <v>47</v>
      </c>
      <c r="E194" s="10">
        <v>15</v>
      </c>
    </row>
    <row r="195" spans="1:5" hidden="1" x14ac:dyDescent="0.3">
      <c r="A195" s="9">
        <v>46218</v>
      </c>
      <c r="B195" s="10" t="s">
        <v>70</v>
      </c>
      <c r="C195" s="10" t="s">
        <v>149</v>
      </c>
      <c r="D195" s="12" t="s">
        <v>151</v>
      </c>
      <c r="E195" s="10">
        <v>12</v>
      </c>
    </row>
    <row r="196" spans="1:5" hidden="1" x14ac:dyDescent="0.3">
      <c r="A196" s="9">
        <v>46218</v>
      </c>
      <c r="B196" s="39" t="s">
        <v>175</v>
      </c>
      <c r="E196" s="10">
        <v>12</v>
      </c>
    </row>
    <row r="197" spans="1:5" hidden="1" x14ac:dyDescent="0.3">
      <c r="A197" s="9">
        <v>46218</v>
      </c>
      <c r="B197" s="10" t="s">
        <v>155</v>
      </c>
      <c r="E197" s="10">
        <v>12</v>
      </c>
    </row>
    <row r="201" spans="1:5" x14ac:dyDescent="0.3">
      <c r="D201" s="13" t="s">
        <v>278</v>
      </c>
    </row>
  </sheetData>
  <autoFilter ref="A1:E197" xr:uid="{214B7A30-331D-4A12-9EE9-0A551107442E}">
    <filterColumn colId="1">
      <filters>
        <filter val="374 AHO"/>
      </filters>
    </filterColumn>
  </autoFilter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Справочник</vt:lpstr>
      <vt:lpstr>СВод Час 2</vt:lpstr>
      <vt:lpstr>Журнал (Час)</vt:lpstr>
      <vt:lpstr>СВод ГСМ Б</vt:lpstr>
      <vt:lpstr>ГСМ Бензовоз</vt:lpstr>
      <vt:lpstr>СВод ГСМ К 2</vt:lpstr>
      <vt:lpstr>ГСМ Карточка</vt:lpstr>
      <vt:lpstr>СВод Рейс</vt:lpstr>
      <vt:lpstr>Рейсы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Lovely Jna</cp:lastModifiedBy>
  <dcterms:created xsi:type="dcterms:W3CDTF">2015-06-05T18:19:34Z</dcterms:created>
  <dcterms:modified xsi:type="dcterms:W3CDTF">2026-07-20T04:17:54Z</dcterms:modified>
</cp:coreProperties>
</file>